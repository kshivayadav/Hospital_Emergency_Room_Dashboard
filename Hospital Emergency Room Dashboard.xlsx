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hiva Kumar\Desktop\Hospital Excel Project\"/>
    </mc:Choice>
  </mc:AlternateContent>
  <xr:revisionPtr revIDLastSave="0" documentId="13_ncr:1_{A8051228-3896-424E-ABEB-1A5BB7D6864F}" xr6:coauthVersionLast="47" xr6:coauthVersionMax="47" xr10:uidLastSave="{00000000-0000-0000-0000-000000000000}"/>
  <bookViews>
    <workbookView xWindow="-108" yWindow="-108" windowWidth="23256" windowHeight="13896" firstSheet="1" activeTab="1" xr2:uid="{95AD0BB4-5683-4F58-9AFC-A96B08CDFD48}"/>
  </bookViews>
  <sheets>
    <sheet name="Pivot Report" sheetId="1" r:id="rId1"/>
    <sheet name="DashBoard" sheetId="2" r:id="rId2"/>
    <sheet name="Daily ER No.of Patients" sheetId="6" r:id="rId3"/>
    <sheet name="Average Wait time Daily trend" sheetId="5" r:id="rId4"/>
    <sheet name="Patient Satisfaction Score"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724fa44-dbb3-47ec-926c-5cc0799c9a56" name="Hospital Emergency Room Data" connection="Query - Hospital Emergency Room Data"/>
          <x15:modelTable id="Calender_Table_df0b9a7c-cb97-4d91-a321-a757447985b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 l="1"/>
  <c r="A27" i="1"/>
  <c r="C28" i="1"/>
  <c r="C27" i="1"/>
  <c r="B28" i="1"/>
  <c r="B2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5A5CCB-36EB-48CF-9EB6-B3382F4E2DF8}" name="Query - Calender_Table" description="Connection to the 'Calender_Table' query in the workbook." type="100" refreshedVersion="8" minRefreshableVersion="5">
    <extLst>
      <ext xmlns:x15="http://schemas.microsoft.com/office/spreadsheetml/2010/11/main" uri="{DE250136-89BD-433C-8126-D09CA5730AF9}">
        <x15:connection id="dd69c272-e736-468d-860a-31f6afb03da7"/>
      </ext>
    </extLst>
  </connection>
  <connection id="2" xr16:uid="{FDB7642E-AFA0-404C-B902-72E2EF7E346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6121114-b661-4c26-bed5-9960e3e31fbf"/>
      </ext>
    </extLst>
  </connection>
  <connection id="3" xr16:uid="{3BF28DFC-1D0C-4123-A7D5-CF00FE3BE5A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<sst xmlns="http://schemas.openxmlformats.org/spreadsheetml/2006/main" count="155" uniqueCount="75">
  <si>
    <t>Distinct Count of Patient Id</t>
  </si>
  <si>
    <t>Average of Patient Waittime</t>
  </si>
  <si>
    <t>Average of Patient Satisfaction Score</t>
  </si>
  <si>
    <t>Row Labels</t>
  </si>
  <si>
    <t>Grand Total</t>
  </si>
  <si>
    <t>2023</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</si>
  <si>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</si>
  <si>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</si>
  <si>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</si>
  <si>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</si>
  <si>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</si>
  <si>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</si>
  <si>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</si>
  <si>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</si>
  <si>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</si>
  <si>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</si>
  <si>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</si>
  <si>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</si>
  <si>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</si>
  <si>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</si>
  <si>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</si>
  <si>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</si>
  <si>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</si>
  <si>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</si>
  <si>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</si>
  <si>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</si>
  <si>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</si>
  <si>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</si>
  <si>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</si>
  <si>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</si>
  <si>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</si>
  <si>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</si>
  <si>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</si>
  <si>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</si>
  <si>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</si>
  <si>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</si>
  <si>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Count of Patient Admission Flag</t>
  </si>
  <si>
    <t>Admitted</t>
  </si>
  <si>
    <t>Not Admitted</t>
  </si>
  <si>
    <t>Count of Patient Admission Flag2</t>
  </si>
  <si>
    <t>Admission Status</t>
  </si>
  <si>
    <t>0-9</t>
  </si>
  <si>
    <t>10-19</t>
  </si>
  <si>
    <t>20-29</t>
  </si>
  <si>
    <t>30-39</t>
  </si>
  <si>
    <t>40-49</t>
  </si>
  <si>
    <t>50-59</t>
  </si>
  <si>
    <t>60-69</t>
  </si>
  <si>
    <t>70-79</t>
  </si>
  <si>
    <t>Count of Patient Age</t>
  </si>
  <si>
    <t>Ontime</t>
  </si>
  <si>
    <t>Delay</t>
  </si>
  <si>
    <t>Count of Patient attend Status</t>
  </si>
  <si>
    <t>Female</t>
  </si>
  <si>
    <t>Male</t>
  </si>
  <si>
    <t>Cardiology</t>
  </si>
  <si>
    <t>Gastroenterology</t>
  </si>
  <si>
    <t>General Practice</t>
  </si>
  <si>
    <t>Neurology</t>
  </si>
  <si>
    <t>None</t>
  </si>
  <si>
    <t>Orthopedics</t>
  </si>
  <si>
    <t>Physiotherapy</t>
  </si>
  <si>
    <t>Renal</t>
  </si>
  <si>
    <t>Count of Department Referral</t>
  </si>
  <si>
    <t>Patients</t>
  </si>
  <si>
    <t>Percentage</t>
  </si>
  <si>
    <t>Chart</t>
  </si>
  <si>
    <t>Patients By Gender</t>
  </si>
  <si>
    <t>Age Wise Patients</t>
  </si>
  <si>
    <t>Slicers</t>
  </si>
  <si>
    <t>Patient Attend Status</t>
  </si>
  <si>
    <t>Patients By Department Referral</t>
  </si>
  <si>
    <t>Total Patients</t>
  </si>
  <si>
    <t>Average Patients Wait Time</t>
  </si>
  <si>
    <t>Average Patients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</si>
</sst>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bgColor indexed="64"/>
      </patternFill>
    </fill>
    <fill>
      <patternFill patternType="solid">
        <fgColor theme="3" tint="0.89999084444715716"/>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2" fontId="0" fillId="0" borderId="0" xfId="0" applyNumberFormat="1"/>
    <xf numFmtId="1"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10" fontId="0" fillId="0" borderId="0" xfId="0" applyNumberFormat="1"/>
    <xf numFmtId="0" fontId="1" fillId="0" borderId="0" xfId="0" applyFont="1"/>
    <xf numFmtId="0" fontId="2" fillId="5" borderId="0" xfId="0" applyFont="1" applyFill="1" applyAlignment="1">
      <alignment horizontal="center"/>
    </xf>
    <xf numFmtId="0" fontId="1" fillId="6" borderId="0" xfId="0" applyFont="1" applyFill="1" applyAlignment="1">
      <alignment horizontal="center"/>
    </xf>
    <xf numFmtId="10" fontId="1" fillId="6" borderId="0" xfId="0" applyNumberFormat="1" applyFont="1" applyFill="1" applyAlignment="1">
      <alignment horizontal="center"/>
    </xf>
    <xf numFmtId="0" fontId="0" fillId="6" borderId="0" xfId="0" applyFill="1"/>
    <xf numFmtId="0" fontId="1" fillId="7" borderId="0" xfId="0" applyFont="1" applyFill="1" applyAlignment="1">
      <alignment horizontal="center"/>
    </xf>
    <xf numFmtId="0" fontId="1" fillId="8" borderId="0" xfId="0" applyFont="1" applyFill="1" applyAlignment="1">
      <alignment horizontal="center"/>
    </xf>
    <xf numFmtId="0" fontId="1" fillId="8" borderId="0" xfId="0" applyFont="1" applyFill="1" applyAlignment="1">
      <alignment horizontal="center"/>
    </xf>
    <xf numFmtId="0" fontId="0" fillId="8" borderId="0" xfId="0" applyFill="1" applyAlignment="1">
      <alignment horizontal="center"/>
    </xf>
    <xf numFmtId="0" fontId="3" fillId="0" borderId="0" xfId="0" applyFont="1"/>
  </cellXfs>
  <cellStyles count="1">
    <cellStyle name="Normal" xfId="0" builtinId="0"/>
  </cellStyles>
  <dxfs count="19">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font>
        <b/>
        <color theme="1"/>
      </font>
      <border>
        <bottom style="thin">
          <color theme="5"/>
        </bottom>
        <vertical/>
        <horizontal/>
      </border>
    </dxf>
    <dxf>
      <font>
        <b/>
        <i val="0"/>
        <sz val="5"/>
        <color theme="1"/>
        <name val="Aptos Display"/>
        <family val="2"/>
        <scheme val="major"/>
      </font>
      <fill>
        <patternFill>
          <bgColor theme="0"/>
        </patternFill>
      </fill>
      <border diagonalUp="0" diagonalDown="0">
        <left/>
        <right/>
        <top/>
        <bottom/>
        <vertical/>
        <horizontal/>
      </border>
    </dxf>
    <dxf>
      <font>
        <b/>
        <color theme="1"/>
      </font>
      <border>
        <bottom style="thin">
          <color theme="5"/>
        </bottom>
        <vertical/>
        <horizontal/>
      </border>
    </dxf>
    <dxf>
      <font>
        <b/>
        <i val="0"/>
        <sz val="9"/>
        <color theme="1"/>
        <name val="Aptos Display"/>
        <family val="2"/>
        <scheme val="major"/>
      </font>
      <fill>
        <patternFill>
          <bgColor theme="0"/>
        </patternFill>
      </fill>
      <border diagonalUp="0" diagonalDown="0">
        <left/>
        <right/>
        <top/>
        <bottom/>
        <vertical/>
        <horizontal/>
      </border>
    </dxf>
  </dxfs>
  <tableStyles count="2" defaultTableStyle="TableStyleMedium2" defaultPivotStyle="PivotStyleLight16">
    <tableStyle name="My Style" pivot="0" table="0" count="10" xr9:uid="{56FB7B98-9183-4AA1-8ECB-51C731A1298D}">
      <tableStyleElement type="wholeTable" dxfId="18"/>
      <tableStyleElement type="headerRow" dxfId="17"/>
    </tableStyle>
    <tableStyle name="year" pivot="0" table="0" count="10" xr9:uid="{9E3854C4-4E13-4751-BBE0-7244BDE840B9}">
      <tableStyleElement type="wholeTable" dxfId="16"/>
      <tableStyleElement type="headerRow" dxfId="1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3" tint="0.89996032593768116"/>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3" tint="0.8999603259376811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
          <c:y val="5.9309630023880733E-2"/>
          <c:w val="0.76112605994087346"/>
          <c:h val="0.89701411735310033"/>
        </c:manualLayout>
      </c:layout>
      <c:barChart>
        <c:barDir val="bar"/>
        <c:grouping val="clustered"/>
        <c:varyColors val="0"/>
        <c:ser>
          <c:idx val="0"/>
          <c:order val="0"/>
          <c:tx>
            <c:strRef>
              <c:f>'Pivot Report'!$B$20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CCC-4A57-80FF-9B27D66A0643}"/>
              </c:ext>
            </c:extLst>
          </c:dPt>
          <c:dPt>
            <c:idx val="1"/>
            <c:invertIfNegative val="0"/>
            <c:bubble3D val="0"/>
            <c:extLst>
              <c:ext xmlns:c16="http://schemas.microsoft.com/office/drawing/2014/chart" uri="{C3380CC4-5D6E-409C-BE32-E72D297353CC}">
                <c16:uniqueId val="{00000001-DCCC-4A57-80FF-9B27D66A0643}"/>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CC-4A57-80FF-9B27D66A0643}"/>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CC-4A57-80FF-9B27D66A0643}"/>
                </c:ext>
              </c:extLst>
            </c:dLbl>
            <c:spPr>
              <a:noFill/>
              <a:ln>
                <a:noFill/>
              </a:ln>
              <a:effectLst/>
            </c:spPr>
            <c:txPr>
              <a:bodyPr rot="0" spcFirstLastPara="1" vertOverflow="ellipsis"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Report'!$A$21:$A$23</c:f>
              <c:strCache>
                <c:ptCount val="2"/>
                <c:pt idx="0">
                  <c:v>Admitted</c:v>
                </c:pt>
                <c:pt idx="1">
                  <c:v>Not Admitted</c:v>
                </c:pt>
              </c:strCache>
            </c:strRef>
          </c:cat>
          <c:val>
            <c:numRef>
              <c:f>'Pivot Report'!$B$21:$B$23</c:f>
              <c:numCache>
                <c:formatCode>0</c:formatCode>
                <c:ptCount val="2"/>
                <c:pt idx="0">
                  <c:v>231</c:v>
                </c:pt>
                <c:pt idx="1">
                  <c:v>233</c:v>
                </c:pt>
              </c:numCache>
            </c:numRef>
          </c:val>
          <c:extLst>
            <c:ext xmlns:c16="http://schemas.microsoft.com/office/drawing/2014/chart" uri="{C3380CC4-5D6E-409C-BE32-E72D297353CC}">
              <c16:uniqueId val="{0000000D-B8C6-4373-95CB-674B2ED9251D}"/>
            </c:ext>
          </c:extLst>
        </c:ser>
        <c:ser>
          <c:idx val="1"/>
          <c:order val="1"/>
          <c:tx>
            <c:strRef>
              <c:f>'Pivot Report'!$C$20</c:f>
              <c:strCache>
                <c:ptCount val="1"/>
                <c:pt idx="0">
                  <c:v>Count of Patient Admission Flag2</c:v>
                </c:pt>
              </c:strCache>
            </c:strRef>
          </c:tx>
          <c:spPr>
            <a:noFill/>
            <a:ln>
              <a:noFill/>
            </a:ln>
            <a:effectLst/>
          </c:spPr>
          <c:invertIfNegative val="0"/>
          <c:cat>
            <c:strRef>
              <c:f>'Pivot Report'!$A$21:$A$23</c:f>
              <c:strCache>
                <c:ptCount val="2"/>
                <c:pt idx="0">
                  <c:v>Admitted</c:v>
                </c:pt>
                <c:pt idx="1">
                  <c:v>Not Admitted</c:v>
                </c:pt>
              </c:strCache>
            </c:strRef>
          </c:cat>
          <c:val>
            <c:numRef>
              <c:f>'Pivot Report'!$C$21:$C$23</c:f>
              <c:numCache>
                <c:formatCode>0.00%</c:formatCode>
                <c:ptCount val="2"/>
                <c:pt idx="0">
                  <c:v>0.49784482758620691</c:v>
                </c:pt>
                <c:pt idx="1">
                  <c:v>0.50215517241379315</c:v>
                </c:pt>
              </c:numCache>
            </c:numRef>
          </c:val>
          <c:extLst>
            <c:ext xmlns:c16="http://schemas.microsoft.com/office/drawing/2014/chart" uri="{C3380CC4-5D6E-409C-BE32-E72D297353CC}">
              <c16:uniqueId val="{0000000E-B8C6-4373-95CB-674B2ED9251D}"/>
            </c:ext>
          </c:extLst>
        </c:ser>
        <c:dLbls>
          <c:showLegendKey val="0"/>
          <c:showVal val="0"/>
          <c:showCatName val="0"/>
          <c:showSerName val="0"/>
          <c:showPercent val="0"/>
          <c:showBubbleSize val="0"/>
        </c:dLbls>
        <c:gapWidth val="0"/>
        <c:overlap val="60"/>
        <c:axId val="94589087"/>
        <c:axId val="94605407"/>
      </c:barChart>
      <c:catAx>
        <c:axId val="94589087"/>
        <c:scaling>
          <c:orientation val="minMax"/>
        </c:scaling>
        <c:delete val="1"/>
        <c:axPos val="l"/>
        <c:numFmt formatCode="General" sourceLinked="1"/>
        <c:majorTickMark val="none"/>
        <c:minorTickMark val="none"/>
        <c:tickLblPos val="nextTo"/>
        <c:crossAx val="94605407"/>
        <c:crosses val="autoZero"/>
        <c:auto val="1"/>
        <c:lblAlgn val="ctr"/>
        <c:lblOffset val="100"/>
        <c:noMultiLvlLbl val="0"/>
      </c:catAx>
      <c:valAx>
        <c:axId val="94605407"/>
        <c:scaling>
          <c:orientation val="minMax"/>
        </c:scaling>
        <c:delete val="1"/>
        <c:axPos val="b"/>
        <c:numFmt formatCode="0" sourceLinked="1"/>
        <c:majorTickMark val="none"/>
        <c:minorTickMark val="none"/>
        <c:tickLblPos val="nextTo"/>
        <c:crossAx val="945890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4.6817251305001438E-2"/>
          <c:w val="0.99999999999999989"/>
          <c:h val="0.95318274869499842"/>
        </c:manualLayout>
      </c:layout>
      <c:areaChart>
        <c:grouping val="standard"/>
        <c:varyColors val="0"/>
        <c:ser>
          <c:idx val="0"/>
          <c:order val="0"/>
          <c:tx>
            <c:strRef>
              <c:f>'Pivot Report'!$I$9</c:f>
              <c:strCache>
                <c:ptCount val="1"/>
                <c:pt idx="0">
                  <c:v>Total</c:v>
                </c:pt>
              </c:strCache>
            </c:strRef>
          </c:tx>
          <c:spPr>
            <a:ln w="25400">
              <a:noFill/>
            </a:ln>
          </c:spPr>
          <c:cat>
            <c:strRef>
              <c:f>'Pivot Report'!$H$10:$H$40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Report'!$I$10:$I$40</c:f>
              <c:numCache>
                <c:formatCode>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9-4F3D-4748-906E-9C02370B7A25}"/>
            </c:ext>
          </c:extLst>
        </c:ser>
        <c:dLbls>
          <c:showLegendKey val="0"/>
          <c:showVal val="0"/>
          <c:showCatName val="0"/>
          <c:showSerName val="0"/>
          <c:showPercent val="0"/>
          <c:showBubbleSize val="0"/>
        </c:dLbls>
        <c:axId val="1116592704"/>
        <c:axId val="1122244208"/>
      </c:areaChart>
      <c:catAx>
        <c:axId val="1116592704"/>
        <c:scaling>
          <c:orientation val="minMax"/>
        </c:scaling>
        <c:delete val="1"/>
        <c:axPos val="b"/>
        <c:numFmt formatCode="General" sourceLinked="1"/>
        <c:majorTickMark val="out"/>
        <c:minorTickMark val="none"/>
        <c:tickLblPos val="nextTo"/>
        <c:crossAx val="1122244208"/>
        <c:crosses val="autoZero"/>
        <c:auto val="1"/>
        <c:lblAlgn val="ctr"/>
        <c:lblOffset val="100"/>
        <c:noMultiLvlLbl val="0"/>
      </c:catAx>
      <c:valAx>
        <c:axId val="1122244208"/>
        <c:scaling>
          <c:orientation val="minMax"/>
        </c:scaling>
        <c:delete val="1"/>
        <c:axPos val="l"/>
        <c:numFmt formatCode="0" sourceLinked="1"/>
        <c:majorTickMark val="out"/>
        <c:minorTickMark val="none"/>
        <c:tickLblPos val="nextTo"/>
        <c:crossAx val="1116592704"/>
        <c:crosses val="autoZero"/>
        <c:crossBetween val="midCat"/>
      </c:valAx>
      <c:spPr>
        <a:noFill/>
        <a:ln w="25400">
          <a:noFill/>
        </a:ln>
        <a:effectLst/>
      </c:spPr>
    </c:plotArea>
    <c:plotVisOnly val="1"/>
    <c:dispBlanksAs val="zero"/>
    <c:showDLblsOverMax val="0"/>
    <c:extLst/>
  </c:chart>
  <c:spPr>
    <a:noFill/>
    <a:ln>
      <a:noFill/>
    </a:ln>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2110461347589406E-2"/>
          <c:w val="1"/>
          <c:h val="0.98788953865241058"/>
        </c:manualLayout>
      </c:layout>
      <c:areaChart>
        <c:grouping val="standard"/>
        <c:varyColors val="0"/>
        <c:ser>
          <c:idx val="0"/>
          <c:order val="0"/>
          <c:tx>
            <c:strRef>
              <c:f>'Pivot Report'!$L$9</c:f>
              <c:strCache>
                <c:ptCount val="1"/>
                <c:pt idx="0">
                  <c:v>Total</c:v>
                </c:pt>
              </c:strCache>
            </c:strRef>
          </c:tx>
          <c:spPr>
            <a:solidFill>
              <a:schemeClr val="accent1"/>
            </a:solidFill>
            <a:ln w="25400">
              <a:noFill/>
            </a:ln>
            <a:effectLst/>
          </c:spPr>
          <c:cat>
            <c:strRef>
              <c:f>'Pivot Report'!$K$10:$K$40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Report'!$L$10:$L$40</c:f>
              <c:numCache>
                <c:formatCode>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6-6D5F-4FBB-BD50-0DA8047CD217}"/>
            </c:ext>
          </c:extLst>
        </c:ser>
        <c:dLbls>
          <c:showLegendKey val="0"/>
          <c:showVal val="0"/>
          <c:showCatName val="0"/>
          <c:showSerName val="0"/>
          <c:showPercent val="0"/>
          <c:showBubbleSize val="0"/>
        </c:dLbls>
        <c:axId val="1117202000"/>
        <c:axId val="1117202960"/>
      </c:areaChart>
      <c:catAx>
        <c:axId val="1117202000"/>
        <c:scaling>
          <c:orientation val="minMax"/>
        </c:scaling>
        <c:delete val="1"/>
        <c:axPos val="b"/>
        <c:numFmt formatCode="General" sourceLinked="1"/>
        <c:majorTickMark val="out"/>
        <c:minorTickMark val="none"/>
        <c:tickLblPos val="nextTo"/>
        <c:crossAx val="1117202960"/>
        <c:crosses val="autoZero"/>
        <c:auto val="1"/>
        <c:lblAlgn val="ctr"/>
        <c:lblOffset val="100"/>
        <c:noMultiLvlLbl val="0"/>
      </c:catAx>
      <c:valAx>
        <c:axId val="1117202960"/>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117202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no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0402807508224003"/>
          <c:w val="1"/>
          <c:h val="0.59597192491775997"/>
        </c:manualLayout>
      </c:layout>
      <c:areaChart>
        <c:grouping val="standard"/>
        <c:varyColors val="0"/>
        <c:ser>
          <c:idx val="0"/>
          <c:order val="0"/>
          <c:tx>
            <c:strRef>
              <c:f>'Pivot Report'!$I$46</c:f>
              <c:strCache>
                <c:ptCount val="1"/>
                <c:pt idx="0">
                  <c:v>Total</c:v>
                </c:pt>
              </c:strCache>
            </c:strRef>
          </c:tx>
          <c:spPr>
            <a:solidFill>
              <a:schemeClr val="accent1"/>
            </a:solidFill>
            <a:ln w="25400">
              <a:noFill/>
            </a:ln>
            <a:effectLst/>
          </c:spPr>
          <c:cat>
            <c:strRef>
              <c:f>'Pivot Report'!$H$47:$H$77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Report'!$I$47:$I$77</c:f>
              <c:numCache>
                <c:formatCode>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6-4367-42E3-AACE-324CF4134E63}"/>
            </c:ext>
          </c:extLst>
        </c:ser>
        <c:dLbls>
          <c:showLegendKey val="0"/>
          <c:showVal val="0"/>
          <c:showCatName val="0"/>
          <c:showSerName val="0"/>
          <c:showPercent val="0"/>
          <c:showBubbleSize val="0"/>
        </c:dLbls>
        <c:axId val="94595327"/>
        <c:axId val="94601087"/>
      </c:areaChart>
      <c:catAx>
        <c:axId val="94595327"/>
        <c:scaling>
          <c:orientation val="minMax"/>
        </c:scaling>
        <c:delete val="1"/>
        <c:axPos val="b"/>
        <c:numFmt formatCode="General" sourceLinked="1"/>
        <c:majorTickMark val="out"/>
        <c:minorTickMark val="none"/>
        <c:tickLblPos val="nextTo"/>
        <c:crossAx val="94601087"/>
        <c:crosses val="autoZero"/>
        <c:auto val="1"/>
        <c:lblAlgn val="ctr"/>
        <c:lblOffset val="100"/>
        <c:noMultiLvlLbl val="0"/>
      </c:catAx>
      <c:valAx>
        <c:axId val="94601087"/>
        <c:scaling>
          <c:orientation val="minMax"/>
        </c:scaling>
        <c:delete val="1"/>
        <c:axPos val="l"/>
        <c:numFmt formatCode="0" sourceLinked="1"/>
        <c:majorTickMark val="none"/>
        <c:minorTickMark val="none"/>
        <c:tickLblPos val="nextTo"/>
        <c:crossAx val="94595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Emergency Room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algn="l" rotWithShape="0">
              <a:prstClr val="black">
                <a:alpha val="40000"/>
              </a:prst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algn="l" rotWithShape="0">
              <a:prstClr val="black">
                <a:alpha val="40000"/>
              </a:prstClr>
            </a:outerShdw>
          </a:effectLst>
          <a:scene3d>
            <a:camera prst="orthographicFront"/>
            <a:lightRig rig="threePt" dir="t"/>
          </a:scene3d>
          <a:sp3d/>
        </c:spPr>
      </c:pivotFmt>
    </c:pivotFmts>
    <c:plotArea>
      <c:layout>
        <c:manualLayout>
          <c:layoutTarget val="inner"/>
          <c:xMode val="edge"/>
          <c:yMode val="edge"/>
          <c:x val="6.258582259966043E-3"/>
          <c:y val="5.2128656449171645E-3"/>
          <c:w val="0.99162659715383805"/>
          <c:h val="0.69290793696130648"/>
        </c:manualLayout>
      </c:layout>
      <c:barChart>
        <c:barDir val="col"/>
        <c:grouping val="clustered"/>
        <c:varyColors val="0"/>
        <c:ser>
          <c:idx val="0"/>
          <c:order val="0"/>
          <c:tx>
            <c:strRef>
              <c:f>'Pivot Report'!$F$9</c:f>
              <c:strCache>
                <c:ptCount val="1"/>
                <c:pt idx="0">
                  <c:v>Total</c:v>
                </c:pt>
              </c:strCache>
            </c:strRef>
          </c:tx>
          <c:spPr>
            <a:solidFill>
              <a:schemeClr val="accent1"/>
            </a:solidFill>
            <a:ln>
              <a:noFill/>
            </a:ln>
            <a:effectLst>
              <a:outerShdw blurRad="50800" dist="38100" algn="l" rotWithShape="0">
                <a:prstClr val="black">
                  <a:alpha val="40000"/>
                </a:prstClr>
              </a:outerShd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Report'!$E$10:$E$18</c:f>
              <c:strCache>
                <c:ptCount val="8"/>
                <c:pt idx="0">
                  <c:v>0-9</c:v>
                </c:pt>
                <c:pt idx="1">
                  <c:v>10-19</c:v>
                </c:pt>
                <c:pt idx="2">
                  <c:v>20-29</c:v>
                </c:pt>
                <c:pt idx="3">
                  <c:v>30-39</c:v>
                </c:pt>
                <c:pt idx="4">
                  <c:v>40-49</c:v>
                </c:pt>
                <c:pt idx="5">
                  <c:v>50-59</c:v>
                </c:pt>
                <c:pt idx="6">
                  <c:v>60-69</c:v>
                </c:pt>
                <c:pt idx="7">
                  <c:v>70-79</c:v>
                </c:pt>
              </c:strCache>
            </c:strRef>
          </c:cat>
          <c:val>
            <c:numRef>
              <c:f>'Pivot Report'!$F$10:$F$18</c:f>
              <c:numCache>
                <c:formatCode>0</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7-7F15-4D8A-9018-C0E5FBDB2B36}"/>
            </c:ext>
          </c:extLst>
        </c:ser>
        <c:dLbls>
          <c:showLegendKey val="0"/>
          <c:showVal val="0"/>
          <c:showCatName val="0"/>
          <c:showSerName val="0"/>
          <c:showPercent val="0"/>
          <c:showBubbleSize val="0"/>
        </c:dLbls>
        <c:gapWidth val="219"/>
        <c:overlap val="-27"/>
        <c:axId val="1232950688"/>
        <c:axId val="1232950208"/>
      </c:barChart>
      <c:catAx>
        <c:axId val="1232950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32950208"/>
        <c:crosses val="autoZero"/>
        <c:auto val="1"/>
        <c:lblAlgn val="ctr"/>
        <c:lblOffset val="100"/>
        <c:noMultiLvlLbl val="0"/>
      </c:catAx>
      <c:valAx>
        <c:axId val="1232950208"/>
        <c:scaling>
          <c:orientation val="minMax"/>
        </c:scaling>
        <c:delete val="1"/>
        <c:axPos val="l"/>
        <c:numFmt formatCode="0" sourceLinked="1"/>
        <c:majorTickMark val="none"/>
        <c:minorTickMark val="none"/>
        <c:tickLblPos val="nextTo"/>
        <c:crossAx val="12329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9"/>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24074074074074084"/>
              <c:y val="-0.13437032997622056"/>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224555263925339"/>
                  <c:h val="0.25301280364358048"/>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fld id="{40FA6325-653E-4975-8F13-8628F301D72A}" type="PERCENTAGE">
                  <a:rPr lang="en-US" sz="800" b="1" i="0" u="none" strike="noStrike" kern="1200" baseline="0">
                    <a:solidFill>
                      <a:schemeClr val="bg1"/>
                    </a:solidFill>
                    <a:latin typeface="+mn-lt"/>
                    <a:ea typeface="+mn-ea"/>
                    <a:cs typeface="+mn-cs"/>
                  </a:rPr>
                  <a:pPr>
                    <a:defRPr sz="8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273940603862918"/>
          <c:y val="0.14923533207414522"/>
          <c:w val="0.62555139421226846"/>
          <c:h val="0.83882098477126543"/>
        </c:manualLayout>
      </c:layout>
      <c:pieChart>
        <c:varyColors val="1"/>
        <c:ser>
          <c:idx val="0"/>
          <c:order val="0"/>
          <c:tx>
            <c:strRef>
              <c:f>'Pivot Report'!$F$31</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59-41E3-8800-AD8A2FD312D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259-41E3-8800-AD8A2FD312DA}"/>
              </c:ext>
            </c:extLst>
          </c:dPt>
          <c:dLbls>
            <c:dLbl>
              <c:idx val="0"/>
              <c:layout>
                <c:manualLayout>
                  <c:x val="-0.24074074074074084"/>
                  <c:y val="-0.13437032997622056"/>
                </c:manualLayout>
              </c:layout>
              <c:showLegendKey val="0"/>
              <c:showVal val="0"/>
              <c:showCatName val="0"/>
              <c:showSerName val="0"/>
              <c:showPercent val="1"/>
              <c:showBubbleSize val="0"/>
              <c:extLst>
                <c:ext xmlns:c15="http://schemas.microsoft.com/office/drawing/2012/chart" uri="{CE6537A1-D6FC-4f65-9D91-7224C49458BB}">
                  <c15:layout>
                    <c:manualLayout>
                      <c:w val="0.19224555263925339"/>
                      <c:h val="0.25301280364358048"/>
                    </c:manualLayout>
                  </c15:layout>
                </c:ext>
                <c:ext xmlns:c16="http://schemas.microsoft.com/office/drawing/2014/chart" uri="{C3380CC4-5D6E-409C-BE32-E72D297353CC}">
                  <c16:uniqueId val="{00000001-F259-41E3-8800-AD8A2FD312DA}"/>
                </c:ext>
              </c:extLst>
            </c:dLbl>
            <c:dLbl>
              <c:idx val="1"/>
              <c:tx>
                <c:rich>
                  <a:bodyPr/>
                  <a:lstStyle/>
                  <a:p>
                    <a:fld id="{40FA6325-653E-4975-8F13-8628F301D72A}" type="PERCENTAGE">
                      <a:rPr lang="en-US" sz="800" b="1" i="0" u="none" strike="noStrike" kern="1200" baseline="0">
                        <a:solidFill>
                          <a:schemeClr val="bg1"/>
                        </a:solidFill>
                        <a:latin typeface="+mn-lt"/>
                        <a:ea typeface="+mn-ea"/>
                        <a:cs typeface="+mn-cs"/>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259-41E3-8800-AD8A2FD312DA}"/>
                </c:ext>
              </c:extLst>
            </c:dLbl>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Report'!$E$32:$E$34</c:f>
              <c:strCache>
                <c:ptCount val="2"/>
                <c:pt idx="0">
                  <c:v>Delay</c:v>
                </c:pt>
                <c:pt idx="1">
                  <c:v>Ontime</c:v>
                </c:pt>
              </c:strCache>
            </c:strRef>
          </c:cat>
          <c:val>
            <c:numRef>
              <c:f>'Pivot Report'!$F$32:$F$34</c:f>
              <c:numCache>
                <c:formatCode>0</c:formatCode>
                <c:ptCount val="2"/>
                <c:pt idx="0">
                  <c:v>267</c:v>
                </c:pt>
                <c:pt idx="1">
                  <c:v>197</c:v>
                </c:pt>
              </c:numCache>
            </c:numRef>
          </c:val>
          <c:extLst>
            <c:ext xmlns:c16="http://schemas.microsoft.com/office/drawing/2014/chart" uri="{C3380CC4-5D6E-409C-BE32-E72D297353CC}">
              <c16:uniqueId val="{0000000A-0D2B-4704-9B60-E3468DB080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Entry>
      <c:layout>
        <c:manualLayout>
          <c:xMode val="edge"/>
          <c:yMode val="edge"/>
          <c:x val="8.3248401540096509E-2"/>
          <c:y val="2.4368986873368911E-2"/>
          <c:w val="0.82456067759600926"/>
          <c:h val="0.12266778327425698"/>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763927842700168"/>
          <c:y val="0.13161155525891963"/>
          <c:w val="0.59764326942829182"/>
          <c:h val="0.85550331101008148"/>
        </c:manualLayout>
      </c:layout>
      <c:doughnutChart>
        <c:varyColors val="1"/>
        <c:ser>
          <c:idx val="0"/>
          <c:order val="0"/>
          <c:tx>
            <c:strRef>
              <c:f>'Pivot Report'!$F$42</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87-42EF-90CA-A22C2B11F80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87-42EF-90CA-A22C2B11F8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Report'!$E$43:$E$45</c:f>
              <c:strCache>
                <c:ptCount val="2"/>
                <c:pt idx="0">
                  <c:v>Female</c:v>
                </c:pt>
                <c:pt idx="1">
                  <c:v>Male</c:v>
                </c:pt>
              </c:strCache>
            </c:strRef>
          </c:cat>
          <c:val>
            <c:numRef>
              <c:f>'Pivot Report'!$F$43:$F$45</c:f>
              <c:numCache>
                <c:formatCode>0</c:formatCode>
                <c:ptCount val="2"/>
                <c:pt idx="0">
                  <c:v>227</c:v>
                </c:pt>
                <c:pt idx="1">
                  <c:v>237</c:v>
                </c:pt>
              </c:numCache>
            </c:numRef>
          </c:val>
          <c:extLst>
            <c:ext xmlns:c16="http://schemas.microsoft.com/office/drawing/2014/chart" uri="{C3380CC4-5D6E-409C-BE32-E72D297353CC}">
              <c16:uniqueId val="{0000000A-343E-4CDE-96AD-ED61B912DDB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2747167427632705"/>
          <c:y val="1.0951669302534786E-2"/>
          <c:w val="0.69991672691592632"/>
          <c:h val="0.105363250142463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metal">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prstMaterial="metal">
            <a:bevelT prst="angle"/>
          </a:sp3d>
        </c:spPr>
      </c:pivotFmt>
    </c:pivotFmts>
    <c:plotArea>
      <c:layout>
        <c:manualLayout>
          <c:layoutTarget val="inner"/>
          <c:xMode val="edge"/>
          <c:yMode val="edge"/>
          <c:x val="0.2172192795501845"/>
          <c:y val="0"/>
          <c:w val="0.774093348852255"/>
          <c:h val="1"/>
        </c:manualLayout>
      </c:layout>
      <c:barChart>
        <c:barDir val="bar"/>
        <c:grouping val="clustered"/>
        <c:varyColors val="0"/>
        <c:ser>
          <c:idx val="0"/>
          <c:order val="0"/>
          <c:tx>
            <c:strRef>
              <c:f>'Pivot Report'!$F$54</c:f>
              <c:strCache>
                <c:ptCount val="1"/>
                <c:pt idx="0">
                  <c:v>Total</c:v>
                </c:pt>
              </c:strCache>
            </c:strRef>
          </c:tx>
          <c:spPr>
            <a:solidFill>
              <a:schemeClr val="accent1"/>
            </a:solidFill>
            <a:ln>
              <a:noFill/>
            </a:ln>
            <a:effectLst/>
            <a:scene3d>
              <a:camera prst="orthographicFront"/>
              <a:lightRig rig="threePt" dir="t"/>
            </a:scene3d>
            <a:sp3d prstMaterial="metal">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Report'!$E$55:$E$63</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Report'!$F$55:$F$63</c:f>
              <c:numCache>
                <c:formatCode>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7-218F-496F-A8A6-6A0369F72F74}"/>
            </c:ext>
          </c:extLst>
        </c:ser>
        <c:dLbls>
          <c:showLegendKey val="0"/>
          <c:showVal val="0"/>
          <c:showCatName val="0"/>
          <c:showSerName val="0"/>
          <c:showPercent val="0"/>
          <c:showBubbleSize val="0"/>
        </c:dLbls>
        <c:gapWidth val="72"/>
        <c:axId val="129521183"/>
        <c:axId val="129526943"/>
      </c:barChart>
      <c:catAx>
        <c:axId val="129521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29526943"/>
        <c:crosses val="autoZero"/>
        <c:auto val="1"/>
        <c:lblAlgn val="ctr"/>
        <c:lblOffset val="100"/>
        <c:noMultiLvlLbl val="0"/>
      </c:catAx>
      <c:valAx>
        <c:axId val="129526943"/>
        <c:scaling>
          <c:orientation val="minMax"/>
        </c:scaling>
        <c:delete val="1"/>
        <c:axPos val="b"/>
        <c:numFmt formatCode="0" sourceLinked="1"/>
        <c:majorTickMark val="none"/>
        <c:minorTickMark val="none"/>
        <c:tickLblPos val="nextTo"/>
        <c:crossAx val="12952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50798195680085E-2"/>
          <c:y val="2.4752475247524754E-2"/>
          <c:w val="0.93041594232539115"/>
          <c:h val="0.81049901249967515"/>
        </c:manualLayout>
      </c:layout>
      <c:areaChart>
        <c:grouping val="standard"/>
        <c:varyColors val="0"/>
        <c:ser>
          <c:idx val="0"/>
          <c:order val="0"/>
          <c:tx>
            <c:strRef>
              <c:f>'Pivot Report'!$I$9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Report'!$H$10:$H$40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Report'!$I$10:$I$40</c:f>
              <c:numCache>
                <c:formatCode>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7-B528-43C8-8670-C3CC1092F27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6592704"/>
        <c:axId val="1122244208"/>
      </c:areaChart>
      <c:catAx>
        <c:axId val="1116592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2244208"/>
        <c:crosses val="autoZero"/>
        <c:auto val="1"/>
        <c:lblAlgn val="ctr"/>
        <c:lblOffset val="100"/>
        <c:noMultiLvlLbl val="0"/>
      </c:catAx>
      <c:valAx>
        <c:axId val="1122244208"/>
        <c:scaling>
          <c:orientation val="minMax"/>
        </c:scaling>
        <c:delete val="1"/>
        <c:axPos val="l"/>
        <c:numFmt formatCode="0" sourceLinked="1"/>
        <c:majorTickMark val="out"/>
        <c:minorTickMark val="none"/>
        <c:tickLblPos val="nextTo"/>
        <c:crossAx val="1116592704"/>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Report'!$K$10:$K$40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Report'!$L$10:$L$40</c:f>
              <c:numCache>
                <c:formatCode>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6-50A2-4D58-9037-2CC7B480FD1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7202000"/>
        <c:axId val="1117202960"/>
      </c:areaChart>
      <c:catAx>
        <c:axId val="11172020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17202960"/>
        <c:crosses val="autoZero"/>
        <c:auto val="1"/>
        <c:lblAlgn val="ctr"/>
        <c:lblOffset val="100"/>
        <c:noMultiLvlLbl val="0"/>
      </c:catAx>
      <c:valAx>
        <c:axId val="1117202960"/>
        <c:scaling>
          <c:orientation val="minMax"/>
        </c:scaling>
        <c:delete val="1"/>
        <c:axPos val="l"/>
        <c:numFmt formatCode="0" sourceLinked="1"/>
        <c:majorTickMark val="out"/>
        <c:minorTickMark val="none"/>
        <c:tickLblPos val="nextTo"/>
        <c:crossAx val="1117202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Report'!$H$10:$H$40</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Report'!$I$10:$I$40</c:f>
              <c:numCache>
                <c:formatCode>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7-101E-45E6-BE10-0F00A44C631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6592704"/>
        <c:axId val="1122244208"/>
      </c:areaChart>
      <c:catAx>
        <c:axId val="1116592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2244208"/>
        <c:crosses val="autoZero"/>
        <c:auto val="1"/>
        <c:lblAlgn val="ctr"/>
        <c:lblOffset val="100"/>
        <c:noMultiLvlLbl val="0"/>
      </c:catAx>
      <c:valAx>
        <c:axId val="1122244208"/>
        <c:scaling>
          <c:orientation val="minMax"/>
        </c:scaling>
        <c:delete val="1"/>
        <c:axPos val="l"/>
        <c:numFmt formatCode="0" sourceLinked="1"/>
        <c:majorTickMark val="out"/>
        <c:minorTickMark val="none"/>
        <c:tickLblPos val="nextTo"/>
        <c:crossAx val="1116592704"/>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hyperlink" Target="#'Daily ER No.of Patients'!A1"/><Relationship Id="rId7" Type="http://schemas.openxmlformats.org/officeDocument/2006/relationships/image" Target="../media/image3.svg"/><Relationship Id="rId12" Type="http://schemas.openxmlformats.org/officeDocument/2006/relationships/hyperlink" Target="#'Patient Satisfaction Score'!A1"/><Relationship Id="rId17" Type="http://schemas.openxmlformats.org/officeDocument/2006/relationships/chart" Target="../charts/chart8.xml"/><Relationship Id="rId2" Type="http://schemas.openxmlformats.org/officeDocument/2006/relationships/hyperlink" Target="#'Average Wait time Daily trend'!A1"/><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3.xml"/><Relationship Id="rId15" Type="http://schemas.openxmlformats.org/officeDocument/2006/relationships/chart" Target="../charts/chart6.xml"/><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image" Target="../media/image5.sv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17645</xdr:colOff>
      <xdr:row>26</xdr:row>
      <xdr:rowOff>1284</xdr:rowOff>
    </xdr:from>
    <xdr:to>
      <xdr:col>3</xdr:col>
      <xdr:colOff>921469</xdr:colOff>
      <xdr:row>27</xdr:row>
      <xdr:rowOff>103571</xdr:rowOff>
    </xdr:to>
    <xdr:graphicFrame macro="">
      <xdr:nvGraphicFramePr>
        <xdr:cNvPr id="8" name="Chart 7">
          <a:extLst>
            <a:ext uri="{FF2B5EF4-FFF2-40B4-BE49-F238E27FC236}">
              <a16:creationId xmlns:a16="http://schemas.microsoft.com/office/drawing/2014/main" id="{19A0B702-8EE8-96A9-4915-34B656FC3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48820</xdr:colOff>
      <xdr:row>0</xdr:row>
      <xdr:rowOff>62609</xdr:rowOff>
    </xdr:from>
    <xdr:to>
      <xdr:col>5</xdr:col>
      <xdr:colOff>205483</xdr:colOff>
      <xdr:row>3</xdr:row>
      <xdr:rowOff>19211</xdr:rowOff>
    </xdr:to>
    <xdr:sp macro="" textlink="">
      <xdr:nvSpPr>
        <xdr:cNvPr id="2" name="Rectangle: Rounded Corners 1">
          <a:extLst>
            <a:ext uri="{FF2B5EF4-FFF2-40B4-BE49-F238E27FC236}">
              <a16:creationId xmlns:a16="http://schemas.microsoft.com/office/drawing/2014/main" id="{92090F56-8E8F-DBC5-9BE2-7242EAD6431C}"/>
            </a:ext>
          </a:extLst>
        </xdr:cNvPr>
        <xdr:cNvSpPr/>
      </xdr:nvSpPr>
      <xdr:spPr>
        <a:xfrm>
          <a:off x="48820" y="62609"/>
          <a:ext cx="3200284" cy="508395"/>
        </a:xfrm>
        <a:prstGeom prst="roundRect">
          <a:avLst>
            <a:gd name="adj" fmla="val 130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249620</xdr:colOff>
      <xdr:row>0</xdr:row>
      <xdr:rowOff>67636</xdr:rowOff>
    </xdr:from>
    <xdr:to>
      <xdr:col>7</xdr:col>
      <xdr:colOff>11459</xdr:colOff>
      <xdr:row>3</xdr:row>
      <xdr:rowOff>12807</xdr:rowOff>
    </xdr:to>
    <xdr:sp macro="" textlink="">
      <xdr:nvSpPr>
        <xdr:cNvPr id="3" name="Rectangle: Rounded Corners 2">
          <a:extLst>
            <a:ext uri="{FF2B5EF4-FFF2-40B4-BE49-F238E27FC236}">
              <a16:creationId xmlns:a16="http://schemas.microsoft.com/office/drawing/2014/main" id="{79B40D28-4757-4068-A286-D581DA0DC23F}"/>
            </a:ext>
          </a:extLst>
        </xdr:cNvPr>
        <xdr:cNvSpPr/>
      </xdr:nvSpPr>
      <xdr:spPr>
        <a:xfrm>
          <a:off x="3291217" y="67636"/>
          <a:ext cx="978477" cy="502263"/>
        </a:xfrm>
        <a:prstGeom prst="roundRect">
          <a:avLst>
            <a:gd name="adj" fmla="val 94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66339</xdr:colOff>
      <xdr:row>0</xdr:row>
      <xdr:rowOff>63256</xdr:rowOff>
    </xdr:from>
    <xdr:to>
      <xdr:col>9</xdr:col>
      <xdr:colOff>241609</xdr:colOff>
      <xdr:row>7</xdr:row>
      <xdr:rowOff>18814</xdr:rowOff>
    </xdr:to>
    <xdr:sp macro="" textlink="">
      <xdr:nvSpPr>
        <xdr:cNvPr id="4" name="Rectangle: Rounded Corners 3">
          <a:extLst>
            <a:ext uri="{FF2B5EF4-FFF2-40B4-BE49-F238E27FC236}">
              <a16:creationId xmlns:a16="http://schemas.microsoft.com/office/drawing/2014/main" id="{7085E7E7-F1BE-48E2-A317-BF5E7C26E4C3}"/>
            </a:ext>
          </a:extLst>
        </xdr:cNvPr>
        <xdr:cNvSpPr/>
      </xdr:nvSpPr>
      <xdr:spPr>
        <a:xfrm>
          <a:off x="4317497" y="63256"/>
          <a:ext cx="1389886" cy="1238926"/>
        </a:xfrm>
        <a:prstGeom prst="roundRect">
          <a:avLst>
            <a:gd name="adj" fmla="val 5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297365</xdr:colOff>
      <xdr:row>0</xdr:row>
      <xdr:rowOff>75259</xdr:rowOff>
    </xdr:from>
    <xdr:to>
      <xdr:col>11</xdr:col>
      <xdr:colOff>573852</xdr:colOff>
      <xdr:row>7</xdr:row>
      <xdr:rowOff>28221</xdr:rowOff>
    </xdr:to>
    <xdr:sp macro="" textlink="">
      <xdr:nvSpPr>
        <xdr:cNvPr id="5" name="Rectangle: Rounded Corners 4">
          <a:extLst>
            <a:ext uri="{FF2B5EF4-FFF2-40B4-BE49-F238E27FC236}">
              <a16:creationId xmlns:a16="http://schemas.microsoft.com/office/drawing/2014/main" id="{E851F457-EEA2-4E59-99F3-48841A6DA364}"/>
            </a:ext>
          </a:extLst>
        </xdr:cNvPr>
        <xdr:cNvSpPr/>
      </xdr:nvSpPr>
      <xdr:spPr>
        <a:xfrm>
          <a:off x="5772239" y="75259"/>
          <a:ext cx="1493126" cy="1252844"/>
        </a:xfrm>
        <a:prstGeom prst="roundRect">
          <a:avLst>
            <a:gd name="adj" fmla="val 561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72456</xdr:colOff>
      <xdr:row>3</xdr:row>
      <xdr:rowOff>72252</xdr:rowOff>
    </xdr:from>
    <xdr:to>
      <xdr:col>1</xdr:col>
      <xdr:colOff>230521</xdr:colOff>
      <xdr:row>15</xdr:row>
      <xdr:rowOff>113123</xdr:rowOff>
    </xdr:to>
    <xdr:sp macro="" textlink="">
      <xdr:nvSpPr>
        <xdr:cNvPr id="6" name="Rectangle: Rounded Corners 5">
          <a:extLst>
            <a:ext uri="{FF2B5EF4-FFF2-40B4-BE49-F238E27FC236}">
              <a16:creationId xmlns:a16="http://schemas.microsoft.com/office/drawing/2014/main" id="{8B6F2327-5589-9461-106D-60397DDD08B0}"/>
            </a:ext>
          </a:extLst>
        </xdr:cNvPr>
        <xdr:cNvSpPr/>
      </xdr:nvSpPr>
      <xdr:spPr>
        <a:xfrm>
          <a:off x="72456" y="623341"/>
          <a:ext cx="770386" cy="2245228"/>
        </a:xfrm>
        <a:prstGeom prst="roundRect">
          <a:avLst>
            <a:gd name="adj" fmla="val 30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288712</xdr:colOff>
      <xdr:row>3</xdr:row>
      <xdr:rowOff>70589</xdr:rowOff>
    </xdr:from>
    <xdr:to>
      <xdr:col>3</xdr:col>
      <xdr:colOff>156869</xdr:colOff>
      <xdr:row>7</xdr:row>
      <xdr:rowOff>42803</xdr:rowOff>
    </xdr:to>
    <xdr:sp macro="" textlink="">
      <xdr:nvSpPr>
        <xdr:cNvPr id="7" name="Rectangle: Rounded Corners 6">
          <a:extLst>
            <a:ext uri="{FF2B5EF4-FFF2-40B4-BE49-F238E27FC236}">
              <a16:creationId xmlns:a16="http://schemas.microsoft.com/office/drawing/2014/main" id="{30F6812A-5393-2C64-C255-F083C773EA56}"/>
            </a:ext>
          </a:extLst>
        </xdr:cNvPr>
        <xdr:cNvSpPr/>
      </xdr:nvSpPr>
      <xdr:spPr>
        <a:xfrm>
          <a:off x="897819" y="618045"/>
          <a:ext cx="1086370" cy="702156"/>
        </a:xfrm>
        <a:prstGeom prst="roundRect">
          <a:avLst>
            <a:gd name="adj" fmla="val 89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217494</xdr:colOff>
      <xdr:row>3</xdr:row>
      <xdr:rowOff>70466</xdr:rowOff>
    </xdr:from>
    <xdr:to>
      <xdr:col>5</xdr:col>
      <xdr:colOff>85650</xdr:colOff>
      <xdr:row>7</xdr:row>
      <xdr:rowOff>42680</xdr:rowOff>
    </xdr:to>
    <xdr:sp macro="" textlink="">
      <xdr:nvSpPr>
        <xdr:cNvPr id="8" name="Rectangle: Rounded Corners 7">
          <a:extLst>
            <a:ext uri="{FF2B5EF4-FFF2-40B4-BE49-F238E27FC236}">
              <a16:creationId xmlns:a16="http://schemas.microsoft.com/office/drawing/2014/main" id="{931CA707-2875-1598-9093-02836CFB6F8E}"/>
            </a:ext>
          </a:extLst>
        </xdr:cNvPr>
        <xdr:cNvSpPr/>
      </xdr:nvSpPr>
      <xdr:spPr>
        <a:xfrm>
          <a:off x="2049134" y="624218"/>
          <a:ext cx="1089249" cy="710549"/>
        </a:xfrm>
        <a:prstGeom prst="roundRect">
          <a:avLst>
            <a:gd name="adj" fmla="val 34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136959</xdr:colOff>
      <xdr:row>3</xdr:row>
      <xdr:rowOff>55906</xdr:rowOff>
    </xdr:from>
    <xdr:to>
      <xdr:col>7</xdr:col>
      <xdr:colOff>17187</xdr:colOff>
      <xdr:row>7</xdr:row>
      <xdr:rowOff>28120</xdr:rowOff>
    </xdr:to>
    <xdr:sp macro="" textlink="">
      <xdr:nvSpPr>
        <xdr:cNvPr id="9" name="Rectangle: Rounded Corners 8">
          <a:extLst>
            <a:ext uri="{FF2B5EF4-FFF2-40B4-BE49-F238E27FC236}">
              <a16:creationId xmlns:a16="http://schemas.microsoft.com/office/drawing/2014/main" id="{3C04F2F1-9BB5-F530-BFC7-F396A4C8F5A8}"/>
            </a:ext>
          </a:extLst>
        </xdr:cNvPr>
        <xdr:cNvSpPr/>
      </xdr:nvSpPr>
      <xdr:spPr>
        <a:xfrm>
          <a:off x="3188331" y="602118"/>
          <a:ext cx="1100776" cy="700498"/>
        </a:xfrm>
        <a:prstGeom prst="roundRect">
          <a:avLst>
            <a:gd name="adj" fmla="val 49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295115</xdr:colOff>
      <xdr:row>10</xdr:row>
      <xdr:rowOff>50554</xdr:rowOff>
    </xdr:from>
    <xdr:to>
      <xdr:col>7</xdr:col>
      <xdr:colOff>34248</xdr:colOff>
      <xdr:row>15</xdr:row>
      <xdr:rowOff>115505</xdr:rowOff>
    </xdr:to>
    <xdr:sp macro="" textlink="">
      <xdr:nvSpPr>
        <xdr:cNvPr id="12" name="Rectangle: Rounded Corners 11">
          <a:extLst>
            <a:ext uri="{FF2B5EF4-FFF2-40B4-BE49-F238E27FC236}">
              <a16:creationId xmlns:a16="http://schemas.microsoft.com/office/drawing/2014/main" id="{C50A2EC3-A0F0-596E-F3CF-33313E1FA654}"/>
            </a:ext>
          </a:extLst>
        </xdr:cNvPr>
        <xdr:cNvSpPr/>
      </xdr:nvSpPr>
      <xdr:spPr>
        <a:xfrm>
          <a:off x="903003" y="1848532"/>
          <a:ext cx="3386458" cy="963939"/>
        </a:xfrm>
        <a:prstGeom prst="roundRect">
          <a:avLst>
            <a:gd name="adj" fmla="val 81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94181</xdr:colOff>
      <xdr:row>7</xdr:row>
      <xdr:rowOff>81663</xdr:rowOff>
    </xdr:from>
    <xdr:to>
      <xdr:col>11</xdr:col>
      <xdr:colOff>573852</xdr:colOff>
      <xdr:row>15</xdr:row>
      <xdr:rowOff>115261</xdr:rowOff>
    </xdr:to>
    <xdr:sp macro="" textlink="">
      <xdr:nvSpPr>
        <xdr:cNvPr id="14" name="Rectangle: Rounded Corners 13">
          <a:extLst>
            <a:ext uri="{FF2B5EF4-FFF2-40B4-BE49-F238E27FC236}">
              <a16:creationId xmlns:a16="http://schemas.microsoft.com/office/drawing/2014/main" id="{406FDDB6-3DC8-9044-4E82-20F6F48FF5FF}"/>
            </a:ext>
          </a:extLst>
        </xdr:cNvPr>
        <xdr:cNvSpPr/>
      </xdr:nvSpPr>
      <xdr:spPr>
        <a:xfrm>
          <a:off x="4395794" y="1372147"/>
          <a:ext cx="2937735" cy="1508437"/>
        </a:xfrm>
        <a:prstGeom prst="roundRect">
          <a:avLst>
            <a:gd name="adj" fmla="val 35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411602</xdr:colOff>
      <xdr:row>0</xdr:row>
      <xdr:rowOff>42698</xdr:rowOff>
    </xdr:from>
    <xdr:to>
      <xdr:col>5</xdr:col>
      <xdr:colOff>39390</xdr:colOff>
      <xdr:row>1</xdr:row>
      <xdr:rowOff>59120</xdr:rowOff>
    </xdr:to>
    <xdr:sp macro="" textlink="">
      <xdr:nvSpPr>
        <xdr:cNvPr id="15" name="TextBox 14">
          <a:extLst>
            <a:ext uri="{FF2B5EF4-FFF2-40B4-BE49-F238E27FC236}">
              <a16:creationId xmlns:a16="http://schemas.microsoft.com/office/drawing/2014/main" id="{A39443E2-62CF-D1D5-F43F-AC46F01279A0}"/>
            </a:ext>
          </a:extLst>
        </xdr:cNvPr>
        <xdr:cNvSpPr txBox="1"/>
      </xdr:nvSpPr>
      <xdr:spPr>
        <a:xfrm>
          <a:off x="1022516" y="42698"/>
          <a:ext cx="2071443" cy="200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100" b="1">
              <a:latin typeface="Forte" panose="03060902040502070203" pitchFamily="66" charset="0"/>
              <a:cs typeface="Times New Roman" panose="02020603050405020304" pitchFamily="18" charset="0"/>
            </a:rPr>
            <a:t>    Hospital </a:t>
          </a:r>
          <a:r>
            <a:rPr lang="en-IN" sz="1200" b="1">
              <a:latin typeface="Forte" panose="03060902040502070203" pitchFamily="66" charset="0"/>
              <a:cs typeface="Times New Roman" panose="02020603050405020304" pitchFamily="18" charset="0"/>
            </a:rPr>
            <a:t>Emergency</a:t>
          </a:r>
          <a:r>
            <a:rPr lang="en-IN" sz="1100" b="1">
              <a:latin typeface="Forte" panose="03060902040502070203" pitchFamily="66" charset="0"/>
              <a:cs typeface="Times New Roman" panose="02020603050405020304" pitchFamily="18" charset="0"/>
            </a:rPr>
            <a:t> Room</a:t>
          </a:r>
        </a:p>
      </xdr:txBody>
    </xdr:sp>
    <xdr:clientData/>
  </xdr:twoCellAnchor>
  <xdr:twoCellAnchor editAs="oneCell">
    <xdr:from>
      <xdr:col>0</xdr:col>
      <xdr:colOff>197073</xdr:colOff>
      <xdr:row>0</xdr:row>
      <xdr:rowOff>72357</xdr:rowOff>
    </xdr:from>
    <xdr:to>
      <xdr:col>1</xdr:col>
      <xdr:colOff>315686</xdr:colOff>
      <xdr:row>3</xdr:row>
      <xdr:rowOff>10885</xdr:rowOff>
    </xdr:to>
    <xdr:pic>
      <xdr:nvPicPr>
        <xdr:cNvPr id="17" name="Picture 16">
          <a:extLst>
            <a:ext uri="{FF2B5EF4-FFF2-40B4-BE49-F238E27FC236}">
              <a16:creationId xmlns:a16="http://schemas.microsoft.com/office/drawing/2014/main" id="{44353603-B71C-91CF-846F-BB21865ADD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277" t="7866" r="14860" b="7273"/>
        <a:stretch>
          <a:fillRect/>
        </a:stretch>
      </xdr:blipFill>
      <xdr:spPr>
        <a:xfrm>
          <a:off x="197073" y="72357"/>
          <a:ext cx="728213" cy="493699"/>
        </a:xfrm>
        <a:prstGeom prst="rect">
          <a:avLst/>
        </a:prstGeom>
      </xdr:spPr>
    </xdr:pic>
    <xdr:clientData/>
  </xdr:twoCellAnchor>
  <xdr:twoCellAnchor editAs="absolute">
    <xdr:from>
      <xdr:col>2</xdr:col>
      <xdr:colOff>361487</xdr:colOff>
      <xdr:row>2</xdr:row>
      <xdr:rowOff>42596</xdr:rowOff>
    </xdr:from>
    <xdr:to>
      <xdr:col>3</xdr:col>
      <xdr:colOff>506422</xdr:colOff>
      <xdr:row>2</xdr:row>
      <xdr:rowOff>183444</xdr:rowOff>
    </xdr:to>
    <xdr:sp macro="" textlink="">
      <xdr:nvSpPr>
        <xdr:cNvPr id="20" name="TextBox 19">
          <a:extLst>
            <a:ext uri="{FF2B5EF4-FFF2-40B4-BE49-F238E27FC236}">
              <a16:creationId xmlns:a16="http://schemas.microsoft.com/office/drawing/2014/main" id="{D599924D-3C7F-42C0-8094-A132F65B33C2}"/>
            </a:ext>
          </a:extLst>
        </xdr:cNvPr>
        <xdr:cNvSpPr txBox="1"/>
      </xdr:nvSpPr>
      <xdr:spPr>
        <a:xfrm>
          <a:off x="1582580" y="411764"/>
          <a:ext cx="755482" cy="141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800" b="0">
              <a:solidFill>
                <a:schemeClr val="dk1"/>
              </a:solidFill>
              <a:latin typeface="Forte" panose="03060902040502070203" pitchFamily="66" charset="0"/>
              <a:ea typeface="+mn-ea"/>
              <a:cs typeface="+mn-cs"/>
            </a:rPr>
            <a:t>Monthly</a:t>
          </a:r>
          <a:r>
            <a:rPr lang="en-IN" sz="800" b="1" baseline="0">
              <a:latin typeface="Forte" panose="03060902040502070203" pitchFamily="66" charset="0"/>
            </a:rPr>
            <a:t> </a:t>
          </a:r>
          <a:r>
            <a:rPr lang="en-IN" sz="800" b="0">
              <a:solidFill>
                <a:schemeClr val="dk1"/>
              </a:solidFill>
              <a:latin typeface="Forte" panose="03060902040502070203" pitchFamily="66" charset="0"/>
              <a:ea typeface="+mn-ea"/>
              <a:cs typeface="+mn-cs"/>
            </a:rPr>
            <a:t>Report</a:t>
          </a:r>
        </a:p>
      </xdr:txBody>
    </xdr:sp>
    <xdr:clientData/>
  </xdr:twoCellAnchor>
  <xdr:twoCellAnchor editAs="absolute">
    <xdr:from>
      <xdr:col>1</xdr:col>
      <xdr:colOff>440544</xdr:colOff>
      <xdr:row>4</xdr:row>
      <xdr:rowOff>130529</xdr:rowOff>
    </xdr:from>
    <xdr:to>
      <xdr:col>3</xdr:col>
      <xdr:colOff>20411</xdr:colOff>
      <xdr:row>5</xdr:row>
      <xdr:rowOff>156482</xdr:rowOff>
    </xdr:to>
    <xdr:sp macro="" textlink="">
      <xdr:nvSpPr>
        <xdr:cNvPr id="21" name="TextBox 20">
          <a:extLst>
            <a:ext uri="{FF2B5EF4-FFF2-40B4-BE49-F238E27FC236}">
              <a16:creationId xmlns:a16="http://schemas.microsoft.com/office/drawing/2014/main" id="{DF22DF7A-FDFA-4A10-85A0-A7F786240DFA}"/>
            </a:ext>
          </a:extLst>
        </xdr:cNvPr>
        <xdr:cNvSpPr txBox="1"/>
      </xdr:nvSpPr>
      <xdr:spPr>
        <a:xfrm>
          <a:off x="1052865" y="865315"/>
          <a:ext cx="804510" cy="20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baseline="0">
              <a:solidFill>
                <a:schemeClr val="dk1"/>
              </a:solidFill>
              <a:latin typeface="+mn-lt"/>
              <a:ea typeface="+mn-ea"/>
              <a:cs typeface="+mn-cs"/>
            </a:rPr>
            <a:t>Total</a:t>
          </a:r>
          <a:r>
            <a:rPr lang="en-IN" sz="1100" b="0" baseline="0">
              <a:solidFill>
                <a:schemeClr val="dk1"/>
              </a:solidFill>
              <a:latin typeface="+mn-lt"/>
              <a:ea typeface="+mn-ea"/>
              <a:cs typeface="+mn-cs"/>
            </a:rPr>
            <a:t> </a:t>
          </a:r>
          <a:r>
            <a:rPr lang="en-IN" sz="900" b="1">
              <a:solidFill>
                <a:schemeClr val="dk1"/>
              </a:solidFill>
              <a:latin typeface="+mn-lt"/>
              <a:ea typeface="+mn-ea"/>
              <a:cs typeface="+mn-cs"/>
            </a:rPr>
            <a:t>Patient</a:t>
          </a:r>
        </a:p>
      </xdr:txBody>
    </xdr:sp>
    <xdr:clientData/>
  </xdr:twoCellAnchor>
  <xdr:twoCellAnchor editAs="absolute">
    <xdr:from>
      <xdr:col>2</xdr:col>
      <xdr:colOff>6805</xdr:colOff>
      <xdr:row>3</xdr:row>
      <xdr:rowOff>144136</xdr:rowOff>
    </xdr:from>
    <xdr:to>
      <xdr:col>2</xdr:col>
      <xdr:colOff>442234</xdr:colOff>
      <xdr:row>4</xdr:row>
      <xdr:rowOff>136071</xdr:rowOff>
    </xdr:to>
    <xdr:sp macro="" textlink="'Pivot Report'!E5">
      <xdr:nvSpPr>
        <xdr:cNvPr id="24" name="TextBox 23">
          <a:extLst>
            <a:ext uri="{FF2B5EF4-FFF2-40B4-BE49-F238E27FC236}">
              <a16:creationId xmlns:a16="http://schemas.microsoft.com/office/drawing/2014/main" id="{38454BE0-C666-4B67-B5CC-3E1C6128B34B}"/>
            </a:ext>
          </a:extLst>
        </xdr:cNvPr>
        <xdr:cNvSpPr txBox="1"/>
      </xdr:nvSpPr>
      <xdr:spPr>
        <a:xfrm>
          <a:off x="1231448" y="695225"/>
          <a:ext cx="435429" cy="17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3A84C60C-50F1-4EF7-BB99-A26F5467CE86}" type="TxLink">
            <a:rPr lang="en-US" sz="1100" b="0" i="0" u="none" strike="noStrike">
              <a:solidFill>
                <a:srgbClr val="000000"/>
              </a:solidFill>
              <a:latin typeface="Aptos Narrow"/>
            </a:rPr>
            <a:pPr algn="ctr"/>
            <a:t>464</a:t>
          </a:fld>
          <a:endParaRPr lang="en-IN" sz="1100" b="0"/>
        </a:p>
      </xdr:txBody>
    </xdr:sp>
    <xdr:clientData/>
  </xdr:twoCellAnchor>
  <xdr:twoCellAnchor editAs="absolute">
    <xdr:from>
      <xdr:col>3</xdr:col>
      <xdr:colOff>549436</xdr:colOff>
      <xdr:row>3</xdr:row>
      <xdr:rowOff>151035</xdr:rowOff>
    </xdr:from>
    <xdr:to>
      <xdr:col>4</xdr:col>
      <xdr:colOff>372543</xdr:colOff>
      <xdr:row>4</xdr:row>
      <xdr:rowOff>142970</xdr:rowOff>
    </xdr:to>
    <xdr:sp macro="" textlink="'Pivot Report'!H5">
      <xdr:nvSpPr>
        <xdr:cNvPr id="25" name="TextBox 24">
          <a:extLst>
            <a:ext uri="{FF2B5EF4-FFF2-40B4-BE49-F238E27FC236}">
              <a16:creationId xmlns:a16="http://schemas.microsoft.com/office/drawing/2014/main" id="{FE8CAC51-59FB-47B6-BA25-37F5056955A8}"/>
            </a:ext>
          </a:extLst>
        </xdr:cNvPr>
        <xdr:cNvSpPr txBox="1"/>
      </xdr:nvSpPr>
      <xdr:spPr>
        <a:xfrm>
          <a:off x="2386400" y="702124"/>
          <a:ext cx="435429" cy="17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FDF7DA20-A99B-4F3A-B229-9E8B3AEA68F0}" type="TxLink">
            <a:rPr lang="en-US" sz="1100" b="0" i="0" u="none" strike="noStrike">
              <a:solidFill>
                <a:srgbClr val="000000"/>
              </a:solidFill>
              <a:latin typeface="Aptos Narrow"/>
            </a:rPr>
            <a:pPr algn="ctr"/>
            <a:t>35.19</a:t>
          </a:fld>
          <a:endParaRPr lang="en-IN" sz="1100" b="0"/>
        </a:p>
      </xdr:txBody>
    </xdr:sp>
    <xdr:clientData/>
  </xdr:twoCellAnchor>
  <xdr:twoCellAnchor editAs="absolute">
    <xdr:from>
      <xdr:col>3</xdr:col>
      <xdr:colOff>251732</xdr:colOff>
      <xdr:row>4</xdr:row>
      <xdr:rowOff>149678</xdr:rowOff>
    </xdr:from>
    <xdr:to>
      <xdr:col>5</xdr:col>
      <xdr:colOff>74839</xdr:colOff>
      <xdr:row>5</xdr:row>
      <xdr:rowOff>163286</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FCE130B5-EC8B-47DD-B99D-7F76082653F9}"/>
            </a:ext>
          </a:extLst>
        </xdr:cNvPr>
        <xdr:cNvSpPr txBox="1"/>
      </xdr:nvSpPr>
      <xdr:spPr>
        <a:xfrm>
          <a:off x="2088696" y="884464"/>
          <a:ext cx="1047750" cy="197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solidFill>
                <a:schemeClr val="dk1"/>
              </a:solidFill>
              <a:latin typeface="+mn-lt"/>
              <a:ea typeface="+mn-ea"/>
              <a:cs typeface="+mn-cs"/>
            </a:rPr>
            <a:t>Average</a:t>
          </a:r>
          <a:r>
            <a:rPr lang="en-IN" sz="900" b="1" baseline="0">
              <a:solidFill>
                <a:schemeClr val="dk1"/>
              </a:solidFill>
              <a:latin typeface="+mn-lt"/>
              <a:ea typeface="+mn-ea"/>
              <a:cs typeface="+mn-cs"/>
            </a:rPr>
            <a:t> Wait Time</a:t>
          </a:r>
          <a:endParaRPr lang="en-IN" sz="900" b="1">
            <a:solidFill>
              <a:schemeClr val="dk1"/>
            </a:solidFill>
            <a:latin typeface="+mn-lt"/>
            <a:ea typeface="+mn-ea"/>
            <a:cs typeface="+mn-cs"/>
          </a:endParaRPr>
        </a:p>
      </xdr:txBody>
    </xdr:sp>
    <xdr:clientData/>
  </xdr:twoCellAnchor>
  <xdr:twoCellAnchor editAs="absolute">
    <xdr:from>
      <xdr:col>5</xdr:col>
      <xdr:colOff>149680</xdr:colOff>
      <xdr:row>4</xdr:row>
      <xdr:rowOff>116063</xdr:rowOff>
    </xdr:from>
    <xdr:to>
      <xdr:col>7</xdr:col>
      <xdr:colOff>1</xdr:colOff>
      <xdr:row>5</xdr:row>
      <xdr:rowOff>170088</xdr:rowOff>
    </xdr:to>
    <xdr:sp macro="" textlink="">
      <xdr:nvSpPr>
        <xdr:cNvPr id="27" name="TextBox 26">
          <a:extLst>
            <a:ext uri="{FF2B5EF4-FFF2-40B4-BE49-F238E27FC236}">
              <a16:creationId xmlns:a16="http://schemas.microsoft.com/office/drawing/2014/main" id="{CD10DBF5-CBCF-46C7-8307-596B963EB425}"/>
            </a:ext>
          </a:extLst>
        </xdr:cNvPr>
        <xdr:cNvSpPr txBox="1"/>
      </xdr:nvSpPr>
      <xdr:spPr>
        <a:xfrm>
          <a:off x="3211287" y="850849"/>
          <a:ext cx="1074964" cy="237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baseline="0">
              <a:solidFill>
                <a:schemeClr val="dk1"/>
              </a:solidFill>
              <a:latin typeface="+mn-lt"/>
              <a:ea typeface="+mn-ea"/>
              <a:cs typeface="+mn-cs"/>
            </a:rPr>
            <a:t>Average Rating</a:t>
          </a:r>
        </a:p>
      </xdr:txBody>
    </xdr:sp>
    <xdr:clientData/>
  </xdr:twoCellAnchor>
  <xdr:twoCellAnchor editAs="absolute">
    <xdr:from>
      <xdr:col>5</xdr:col>
      <xdr:colOff>452072</xdr:colOff>
      <xdr:row>3</xdr:row>
      <xdr:rowOff>136475</xdr:rowOff>
    </xdr:from>
    <xdr:to>
      <xdr:col>6</xdr:col>
      <xdr:colOff>275179</xdr:colOff>
      <xdr:row>4</xdr:row>
      <xdr:rowOff>128410</xdr:rowOff>
    </xdr:to>
    <xdr:sp macro="" textlink="'Pivot Report'!K5">
      <xdr:nvSpPr>
        <xdr:cNvPr id="28" name="TextBox 27">
          <a:extLst>
            <a:ext uri="{FF2B5EF4-FFF2-40B4-BE49-F238E27FC236}">
              <a16:creationId xmlns:a16="http://schemas.microsoft.com/office/drawing/2014/main" id="{C314B761-8C54-43C4-87F2-A77FC1166466}"/>
            </a:ext>
          </a:extLst>
        </xdr:cNvPr>
        <xdr:cNvSpPr txBox="1"/>
      </xdr:nvSpPr>
      <xdr:spPr>
        <a:xfrm>
          <a:off x="3513679" y="687564"/>
          <a:ext cx="435429" cy="17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3ECE52A2-265C-46BC-B901-C884F6703E47}" type="TxLink">
            <a:rPr lang="en-US" sz="1100" b="0" i="0" u="none" strike="noStrike">
              <a:solidFill>
                <a:srgbClr val="000000"/>
              </a:solidFill>
              <a:latin typeface="Aptos Narrow"/>
            </a:rPr>
            <a:pPr algn="ctr"/>
            <a:t>5.09</a:t>
          </a:fld>
          <a:endParaRPr lang="en-IN" sz="1100" b="0"/>
        </a:p>
      </xdr:txBody>
    </xdr:sp>
    <xdr:clientData/>
  </xdr:twoCellAnchor>
  <xdr:twoCellAnchor editAs="oneCell">
    <xdr:from>
      <xdr:col>0</xdr:col>
      <xdr:colOff>91633</xdr:colOff>
      <xdr:row>4</xdr:row>
      <xdr:rowOff>47626</xdr:rowOff>
    </xdr:from>
    <xdr:to>
      <xdr:col>1</xdr:col>
      <xdr:colOff>225380</xdr:colOff>
      <xdr:row>15</xdr:row>
      <xdr:rowOff>96457</xdr:rowOff>
    </xdr:to>
    <mc:AlternateContent xmlns:mc="http://schemas.openxmlformats.org/markup-compatibility/2006" xmlns:a14="http://schemas.microsoft.com/office/drawing/2010/main">
      <mc:Choice Requires="a14">
        <xdr:graphicFrame macro="">
          <xdr:nvGraphicFramePr>
            <xdr:cNvPr id="29" name="Date (Month) 1">
              <a:extLst>
                <a:ext uri="{FF2B5EF4-FFF2-40B4-BE49-F238E27FC236}">
                  <a16:creationId xmlns:a16="http://schemas.microsoft.com/office/drawing/2014/main" id="{633372DE-0FD2-40BD-9B6C-0762BBA47F0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1633" y="767626"/>
              <a:ext cx="745747" cy="2028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287056</xdr:colOff>
      <xdr:row>5</xdr:row>
      <xdr:rowOff>119945</xdr:rowOff>
    </xdr:from>
    <xdr:to>
      <xdr:col>3</xdr:col>
      <xdr:colOff>146136</xdr:colOff>
      <xdr:row>7</xdr:row>
      <xdr:rowOff>41753</xdr:rowOff>
    </xdr:to>
    <xdr:graphicFrame macro="">
      <xdr:nvGraphicFramePr>
        <xdr:cNvPr id="30" name="Chart 29">
          <a:hlinkClick xmlns:r="http://schemas.openxmlformats.org/officeDocument/2006/relationships" r:id="rId3"/>
          <a:extLst>
            <a:ext uri="{FF2B5EF4-FFF2-40B4-BE49-F238E27FC236}">
              <a16:creationId xmlns:a16="http://schemas.microsoft.com/office/drawing/2014/main" id="{2FD851FA-190A-44ED-8E1F-B4B72CFD5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212981</xdr:colOff>
      <xdr:row>5</xdr:row>
      <xdr:rowOff>119946</xdr:rowOff>
    </xdr:from>
    <xdr:to>
      <xdr:col>5</xdr:col>
      <xdr:colOff>89925</xdr:colOff>
      <xdr:row>7</xdr:row>
      <xdr:rowOff>42596</xdr:rowOff>
    </xdr:to>
    <xdr:graphicFrame macro="">
      <xdr:nvGraphicFramePr>
        <xdr:cNvPr id="33" name="Chart 32">
          <a:extLst>
            <a:ext uri="{FF2B5EF4-FFF2-40B4-BE49-F238E27FC236}">
              <a16:creationId xmlns:a16="http://schemas.microsoft.com/office/drawing/2014/main" id="{62E1824D-D54D-4E96-95E7-38F87108E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324001</xdr:colOff>
      <xdr:row>3</xdr:row>
      <xdr:rowOff>90971</xdr:rowOff>
    </xdr:from>
    <xdr:to>
      <xdr:col>6</xdr:col>
      <xdr:colOff>576001</xdr:colOff>
      <xdr:row>4</xdr:row>
      <xdr:rowOff>148911</xdr:rowOff>
    </xdr:to>
    <xdr:pic>
      <xdr:nvPicPr>
        <xdr:cNvPr id="35" name="Graphic 34" descr="Stars with solid fill">
          <a:extLst>
            <a:ext uri="{FF2B5EF4-FFF2-40B4-BE49-F238E27FC236}">
              <a16:creationId xmlns:a16="http://schemas.microsoft.com/office/drawing/2014/main" id="{D405D5FF-0047-0B46-8B44-94628C419F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96001" y="630971"/>
          <a:ext cx="252000" cy="237940"/>
        </a:xfrm>
        <a:prstGeom prst="rect">
          <a:avLst/>
        </a:prstGeom>
      </xdr:spPr>
    </xdr:pic>
    <xdr:clientData/>
  </xdr:twoCellAnchor>
  <xdr:twoCellAnchor editAs="oneCell">
    <xdr:from>
      <xdr:col>4</xdr:col>
      <xdr:colOff>425236</xdr:colOff>
      <xdr:row>3</xdr:row>
      <xdr:rowOff>99484</xdr:rowOff>
    </xdr:from>
    <xdr:to>
      <xdr:col>5</xdr:col>
      <xdr:colOff>72000</xdr:colOff>
      <xdr:row>4</xdr:row>
      <xdr:rowOff>119871</xdr:rowOff>
    </xdr:to>
    <xdr:pic>
      <xdr:nvPicPr>
        <xdr:cNvPr id="37" name="Graphic 36" descr="Hourglass Finished with solid fill">
          <a:extLst>
            <a:ext uri="{FF2B5EF4-FFF2-40B4-BE49-F238E27FC236}">
              <a16:creationId xmlns:a16="http://schemas.microsoft.com/office/drawing/2014/main" id="{1B0C70FF-3D69-CEE2-EE86-091210DD3C3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73236" y="639484"/>
          <a:ext cx="258764" cy="200387"/>
        </a:xfrm>
        <a:prstGeom prst="rect">
          <a:avLst/>
        </a:prstGeom>
      </xdr:spPr>
    </xdr:pic>
    <xdr:clientData/>
  </xdr:twoCellAnchor>
  <xdr:twoCellAnchor editAs="oneCell">
    <xdr:from>
      <xdr:col>2</xdr:col>
      <xdr:colOff>440183</xdr:colOff>
      <xdr:row>3</xdr:row>
      <xdr:rowOff>88778</xdr:rowOff>
    </xdr:from>
    <xdr:to>
      <xdr:col>3</xdr:col>
      <xdr:colOff>115903</xdr:colOff>
      <xdr:row>4</xdr:row>
      <xdr:rowOff>147962</xdr:rowOff>
    </xdr:to>
    <xdr:pic>
      <xdr:nvPicPr>
        <xdr:cNvPr id="39" name="Graphic 38" descr="Users with solid fill">
          <a:extLst>
            <a:ext uri="{FF2B5EF4-FFF2-40B4-BE49-F238E27FC236}">
              <a16:creationId xmlns:a16="http://schemas.microsoft.com/office/drawing/2014/main" id="{9C5F9E89-5350-8B23-AA44-D64A022E10D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64183" y="628778"/>
          <a:ext cx="287720" cy="239184"/>
        </a:xfrm>
        <a:prstGeom prst="rect">
          <a:avLst/>
        </a:prstGeom>
      </xdr:spPr>
    </xdr:pic>
    <xdr:clientData/>
  </xdr:twoCellAnchor>
  <xdr:twoCellAnchor>
    <xdr:from>
      <xdr:col>5</xdr:col>
      <xdr:colOff>140311</xdr:colOff>
      <xdr:row>5</xdr:row>
      <xdr:rowOff>102870</xdr:rowOff>
    </xdr:from>
    <xdr:to>
      <xdr:col>7</xdr:col>
      <xdr:colOff>6476</xdr:colOff>
      <xdr:row>7</xdr:row>
      <xdr:rowOff>26669</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FF76D2AA-4089-4047-9DA0-408932EDF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327526</xdr:colOff>
      <xdr:row>10</xdr:row>
      <xdr:rowOff>66842</xdr:rowOff>
    </xdr:from>
    <xdr:to>
      <xdr:col>6</xdr:col>
      <xdr:colOff>574841</xdr:colOff>
      <xdr:row>15</xdr:row>
      <xdr:rowOff>101923</xdr:rowOff>
    </xdr:to>
    <xdr:graphicFrame macro="">
      <xdr:nvGraphicFramePr>
        <xdr:cNvPr id="47" name="Chart 46">
          <a:extLst>
            <a:ext uri="{FF2B5EF4-FFF2-40B4-BE49-F238E27FC236}">
              <a16:creationId xmlns:a16="http://schemas.microsoft.com/office/drawing/2014/main" id="{7BA8641F-8653-4B2F-B4C6-45A6EBA4E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204744</xdr:colOff>
      <xdr:row>14</xdr:row>
      <xdr:rowOff>120211</xdr:rowOff>
    </xdr:from>
    <xdr:to>
      <xdr:col>5</xdr:col>
      <xdr:colOff>197688</xdr:colOff>
      <xdr:row>15</xdr:row>
      <xdr:rowOff>84931</xdr:rowOff>
    </xdr:to>
    <xdr:sp macro="" textlink="">
      <xdr:nvSpPr>
        <xdr:cNvPr id="48" name="TextBox 47">
          <a:extLst>
            <a:ext uri="{FF2B5EF4-FFF2-40B4-BE49-F238E27FC236}">
              <a16:creationId xmlns:a16="http://schemas.microsoft.com/office/drawing/2014/main" id="{4608E93D-B8D8-46A3-A46C-82FDE0DB9BB5}"/>
            </a:ext>
          </a:extLst>
        </xdr:cNvPr>
        <xdr:cNvSpPr txBox="1"/>
      </xdr:nvSpPr>
      <xdr:spPr>
        <a:xfrm>
          <a:off x="2037857" y="2636249"/>
          <a:ext cx="1215020" cy="144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dk1"/>
              </a:solidFill>
              <a:latin typeface="+mn-lt"/>
              <a:ea typeface="+mn-ea"/>
              <a:cs typeface="+mn-cs"/>
            </a:rPr>
            <a:t>No</a:t>
          </a:r>
          <a:r>
            <a:rPr lang="en-IN" sz="1050" b="0">
              <a:solidFill>
                <a:schemeClr val="dk1"/>
              </a:solidFill>
              <a:latin typeface="+mn-lt"/>
              <a:ea typeface="+mn-ea"/>
              <a:cs typeface="+mn-cs"/>
            </a:rPr>
            <a:t>.</a:t>
          </a:r>
          <a:r>
            <a:rPr lang="en-IN" sz="1050" b="0" baseline="0">
              <a:solidFill>
                <a:schemeClr val="dk1"/>
              </a:solidFill>
              <a:latin typeface="+mn-lt"/>
              <a:ea typeface="+mn-ea"/>
              <a:cs typeface="+mn-cs"/>
            </a:rPr>
            <a:t> </a:t>
          </a:r>
          <a:r>
            <a:rPr lang="en-IN" sz="800" b="1">
              <a:solidFill>
                <a:schemeClr val="dk1"/>
              </a:solidFill>
              <a:latin typeface="+mn-lt"/>
              <a:ea typeface="+mn-ea"/>
              <a:cs typeface="+mn-cs"/>
            </a:rPr>
            <a:t>of</a:t>
          </a:r>
          <a:r>
            <a:rPr lang="en-IN" sz="1050" b="0" baseline="0">
              <a:solidFill>
                <a:schemeClr val="dk1"/>
              </a:solidFill>
              <a:latin typeface="+mn-lt"/>
              <a:ea typeface="+mn-ea"/>
              <a:cs typeface="+mn-cs"/>
            </a:rPr>
            <a:t> </a:t>
          </a:r>
          <a:r>
            <a:rPr lang="en-IN" sz="800" b="1">
              <a:solidFill>
                <a:schemeClr val="dk1"/>
              </a:solidFill>
              <a:latin typeface="+mn-lt"/>
              <a:ea typeface="+mn-ea"/>
              <a:cs typeface="+mn-cs"/>
            </a:rPr>
            <a:t>Patients By</a:t>
          </a:r>
          <a:r>
            <a:rPr lang="en-IN" sz="800" b="1" baseline="0">
              <a:solidFill>
                <a:schemeClr val="dk1"/>
              </a:solidFill>
              <a:latin typeface="+mn-lt"/>
              <a:ea typeface="+mn-ea"/>
              <a:cs typeface="+mn-cs"/>
            </a:rPr>
            <a:t> Age Group</a:t>
          </a:r>
        </a:p>
      </xdr:txBody>
    </xdr:sp>
    <xdr:clientData/>
  </xdr:twoCellAnchor>
  <xdr:twoCellAnchor>
    <xdr:from>
      <xdr:col>7</xdr:col>
      <xdr:colOff>74084</xdr:colOff>
      <xdr:row>1</xdr:row>
      <xdr:rowOff>100541</xdr:rowOff>
    </xdr:from>
    <xdr:to>
      <xdr:col>9</xdr:col>
      <xdr:colOff>235175</xdr:colOff>
      <xdr:row>7</xdr:row>
      <xdr:rowOff>10584</xdr:rowOff>
    </xdr:to>
    <xdr:graphicFrame macro="">
      <xdr:nvGraphicFramePr>
        <xdr:cNvPr id="49" name="Chart 48">
          <a:extLst>
            <a:ext uri="{FF2B5EF4-FFF2-40B4-BE49-F238E27FC236}">
              <a16:creationId xmlns:a16="http://schemas.microsoft.com/office/drawing/2014/main" id="{09909D52-70EC-4446-93F1-D28571B4C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291741</xdr:colOff>
      <xdr:row>0</xdr:row>
      <xdr:rowOff>73432</xdr:rowOff>
    </xdr:from>
    <xdr:to>
      <xdr:col>9</xdr:col>
      <xdr:colOff>104449</xdr:colOff>
      <xdr:row>1</xdr:row>
      <xdr:rowOff>102286</xdr:rowOff>
    </xdr:to>
    <xdr:sp macro="" textlink="">
      <xdr:nvSpPr>
        <xdr:cNvPr id="50" name="TextBox 49">
          <a:extLst>
            <a:ext uri="{FF2B5EF4-FFF2-40B4-BE49-F238E27FC236}">
              <a16:creationId xmlns:a16="http://schemas.microsoft.com/office/drawing/2014/main" id="{68C741B9-77F9-4B27-BF64-3EE9107CD173}"/>
            </a:ext>
          </a:extLst>
        </xdr:cNvPr>
        <xdr:cNvSpPr txBox="1"/>
      </xdr:nvSpPr>
      <xdr:spPr>
        <a:xfrm>
          <a:off x="4551533" y="73432"/>
          <a:ext cx="1029791" cy="21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solidFill>
                <a:schemeClr val="dk1"/>
              </a:solidFill>
              <a:latin typeface="+mn-lt"/>
              <a:ea typeface="+mn-ea"/>
              <a:cs typeface="+mn-cs"/>
            </a:rPr>
            <a:t>Patient Attend Status</a:t>
          </a:r>
        </a:p>
      </xdr:txBody>
    </xdr:sp>
    <xdr:clientData/>
  </xdr:twoCellAnchor>
  <xdr:twoCellAnchor>
    <xdr:from>
      <xdr:col>9</xdr:col>
      <xdr:colOff>301625</xdr:colOff>
      <xdr:row>1</xdr:row>
      <xdr:rowOff>77391</xdr:rowOff>
    </xdr:from>
    <xdr:to>
      <xdr:col>11</xdr:col>
      <xdr:colOff>574808</xdr:colOff>
      <xdr:row>7</xdr:row>
      <xdr:rowOff>22635</xdr:rowOff>
    </xdr:to>
    <xdr:graphicFrame macro="">
      <xdr:nvGraphicFramePr>
        <xdr:cNvPr id="51" name="Chart 50">
          <a:extLst>
            <a:ext uri="{FF2B5EF4-FFF2-40B4-BE49-F238E27FC236}">
              <a16:creationId xmlns:a16="http://schemas.microsoft.com/office/drawing/2014/main" id="{5B28D90E-862B-4DF2-80DA-073D611FC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573176</xdr:colOff>
      <xdr:row>0</xdr:row>
      <xdr:rowOff>79374</xdr:rowOff>
    </xdr:from>
    <xdr:to>
      <xdr:col>11</xdr:col>
      <xdr:colOff>385885</xdr:colOff>
      <xdr:row>1</xdr:row>
      <xdr:rowOff>79638</xdr:rowOff>
    </xdr:to>
    <xdr:sp macro="" textlink="">
      <xdr:nvSpPr>
        <xdr:cNvPr id="52" name="TextBox 51">
          <a:extLst>
            <a:ext uri="{FF2B5EF4-FFF2-40B4-BE49-F238E27FC236}">
              <a16:creationId xmlns:a16="http://schemas.microsoft.com/office/drawing/2014/main" id="{873002CE-6B65-4B50-B16A-84E31C1C5727}"/>
            </a:ext>
          </a:extLst>
        </xdr:cNvPr>
        <xdr:cNvSpPr txBox="1"/>
      </xdr:nvSpPr>
      <xdr:spPr>
        <a:xfrm>
          <a:off x="6050051" y="79374"/>
          <a:ext cx="1029792" cy="185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solidFill>
                <a:schemeClr val="dk1"/>
              </a:solidFill>
              <a:latin typeface="+mn-lt"/>
              <a:ea typeface="+mn-ea"/>
              <a:cs typeface="+mn-cs"/>
            </a:rPr>
            <a:t>Patients</a:t>
          </a:r>
          <a:r>
            <a:rPr lang="en-IN" sz="900" b="1" baseline="0">
              <a:solidFill>
                <a:schemeClr val="dk1"/>
              </a:solidFill>
              <a:latin typeface="+mn-lt"/>
              <a:ea typeface="+mn-ea"/>
              <a:cs typeface="+mn-cs"/>
            </a:rPr>
            <a:t> By Gender</a:t>
          </a:r>
          <a:endParaRPr lang="en-IN" sz="900" b="1">
            <a:solidFill>
              <a:schemeClr val="dk1"/>
            </a:solidFill>
            <a:latin typeface="+mn-lt"/>
            <a:ea typeface="+mn-ea"/>
            <a:cs typeface="+mn-cs"/>
          </a:endParaRPr>
        </a:p>
      </xdr:txBody>
    </xdr:sp>
    <xdr:clientData/>
  </xdr:twoCellAnchor>
  <xdr:twoCellAnchor>
    <xdr:from>
      <xdr:col>7</xdr:col>
      <xdr:colOff>105833</xdr:colOff>
      <xdr:row>8</xdr:row>
      <xdr:rowOff>84666</xdr:rowOff>
    </xdr:from>
    <xdr:to>
      <xdr:col>11</xdr:col>
      <xdr:colOff>586818</xdr:colOff>
      <xdr:row>15</xdr:row>
      <xdr:rowOff>105833</xdr:rowOff>
    </xdr:to>
    <xdr:graphicFrame macro="">
      <xdr:nvGraphicFramePr>
        <xdr:cNvPr id="53" name="Chart 52">
          <a:extLst>
            <a:ext uri="{FF2B5EF4-FFF2-40B4-BE49-F238E27FC236}">
              <a16:creationId xmlns:a16="http://schemas.microsoft.com/office/drawing/2014/main" id="{D9AE7AC5-272D-427A-9EBF-E749B10F2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259293</xdr:colOff>
      <xdr:row>1</xdr:row>
      <xdr:rowOff>4823</xdr:rowOff>
    </xdr:from>
    <xdr:to>
      <xdr:col>6</xdr:col>
      <xdr:colOff>603250</xdr:colOff>
      <xdr:row>3</xdr:row>
      <xdr:rowOff>9645</xdr:rowOff>
    </xdr:to>
    <mc:AlternateContent xmlns:mc="http://schemas.openxmlformats.org/markup-compatibility/2006" xmlns:a14="http://schemas.microsoft.com/office/drawing/2010/main">
      <mc:Choice Requires="a14">
        <xdr:graphicFrame macro="">
          <xdr:nvGraphicFramePr>
            <xdr:cNvPr id="54" name="Date (Year) 1">
              <a:extLst>
                <a:ext uri="{FF2B5EF4-FFF2-40B4-BE49-F238E27FC236}">
                  <a16:creationId xmlns:a16="http://schemas.microsoft.com/office/drawing/2014/main" id="{A7DCBA22-EEA6-4646-8DB7-5ABE64F68C0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19293" y="184823"/>
              <a:ext cx="955957" cy="364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494603</xdr:colOff>
      <xdr:row>0</xdr:row>
      <xdr:rowOff>61877</xdr:rowOff>
    </xdr:from>
    <xdr:to>
      <xdr:col>6</xdr:col>
      <xdr:colOff>308658</xdr:colOff>
      <xdr:row>1</xdr:row>
      <xdr:rowOff>19291</xdr:rowOff>
    </xdr:to>
    <xdr:sp macro="" textlink="">
      <xdr:nvSpPr>
        <xdr:cNvPr id="55" name="TextBox 54">
          <a:extLst>
            <a:ext uri="{FF2B5EF4-FFF2-40B4-BE49-F238E27FC236}">
              <a16:creationId xmlns:a16="http://schemas.microsoft.com/office/drawing/2014/main" id="{E23C0632-4C8F-45B2-9782-527EEC809B3A}"/>
            </a:ext>
          </a:extLst>
        </xdr:cNvPr>
        <xdr:cNvSpPr txBox="1"/>
      </xdr:nvSpPr>
      <xdr:spPr>
        <a:xfrm>
          <a:off x="3532957" y="61877"/>
          <a:ext cx="421726" cy="140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a:solidFill>
                <a:schemeClr val="dk1"/>
              </a:solidFill>
              <a:latin typeface="Times New Roman" panose="02020603050405020304" pitchFamily="18" charset="0"/>
              <a:ea typeface="+mn-ea"/>
              <a:cs typeface="Times New Roman" panose="02020603050405020304" pitchFamily="18" charset="0"/>
            </a:rPr>
            <a:t>Year</a:t>
          </a:r>
        </a:p>
      </xdr:txBody>
    </xdr:sp>
    <xdr:clientData/>
  </xdr:twoCellAnchor>
  <xdr:twoCellAnchor editAs="absolute">
    <xdr:from>
      <xdr:col>8</xdr:col>
      <xdr:colOff>88377</xdr:colOff>
      <xdr:row>7</xdr:row>
      <xdr:rowOff>111126</xdr:rowOff>
    </xdr:from>
    <xdr:to>
      <xdr:col>10</xdr:col>
      <xdr:colOff>529166</xdr:colOff>
      <xdr:row>8</xdr:row>
      <xdr:rowOff>77450</xdr:rowOff>
    </xdr:to>
    <xdr:sp macro="" textlink="">
      <xdr:nvSpPr>
        <xdr:cNvPr id="56" name="TextBox 55">
          <a:extLst>
            <a:ext uri="{FF2B5EF4-FFF2-40B4-BE49-F238E27FC236}">
              <a16:creationId xmlns:a16="http://schemas.microsoft.com/office/drawing/2014/main" id="{2775B38D-F609-4078-AFCB-C08E122D7F45}"/>
            </a:ext>
          </a:extLst>
        </xdr:cNvPr>
        <xdr:cNvSpPr txBox="1"/>
      </xdr:nvSpPr>
      <xdr:spPr>
        <a:xfrm>
          <a:off x="4956710" y="1407584"/>
          <a:ext cx="1657873" cy="151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dk1"/>
              </a:solidFill>
              <a:latin typeface="+mn-lt"/>
              <a:ea typeface="+mn-ea"/>
              <a:cs typeface="+mn-cs"/>
            </a:rPr>
            <a:t>No</a:t>
          </a:r>
          <a:r>
            <a:rPr lang="en-IN" sz="1050" b="0">
              <a:solidFill>
                <a:schemeClr val="dk1"/>
              </a:solidFill>
              <a:latin typeface="+mn-lt"/>
              <a:ea typeface="+mn-ea"/>
              <a:cs typeface="+mn-cs"/>
            </a:rPr>
            <a:t>.</a:t>
          </a:r>
          <a:r>
            <a:rPr lang="en-IN" sz="1050" b="0" baseline="0">
              <a:solidFill>
                <a:schemeClr val="dk1"/>
              </a:solidFill>
              <a:latin typeface="+mn-lt"/>
              <a:ea typeface="+mn-ea"/>
              <a:cs typeface="+mn-cs"/>
            </a:rPr>
            <a:t> </a:t>
          </a:r>
          <a:r>
            <a:rPr lang="en-IN" sz="800" b="1">
              <a:solidFill>
                <a:schemeClr val="dk1"/>
              </a:solidFill>
              <a:latin typeface="+mn-lt"/>
              <a:ea typeface="+mn-ea"/>
              <a:cs typeface="+mn-cs"/>
            </a:rPr>
            <a:t>of</a:t>
          </a:r>
          <a:r>
            <a:rPr lang="en-IN" sz="1050" b="0" baseline="0">
              <a:solidFill>
                <a:schemeClr val="dk1"/>
              </a:solidFill>
              <a:latin typeface="+mn-lt"/>
              <a:ea typeface="+mn-ea"/>
              <a:cs typeface="+mn-cs"/>
            </a:rPr>
            <a:t> </a:t>
          </a:r>
          <a:r>
            <a:rPr lang="en-IN" sz="800" b="1">
              <a:solidFill>
                <a:schemeClr val="dk1"/>
              </a:solidFill>
              <a:latin typeface="+mn-lt"/>
              <a:ea typeface="+mn-ea"/>
              <a:cs typeface="+mn-cs"/>
            </a:rPr>
            <a:t>Patients By</a:t>
          </a:r>
          <a:r>
            <a:rPr lang="en-IN" sz="800" b="1" baseline="0">
              <a:solidFill>
                <a:schemeClr val="dk1"/>
              </a:solidFill>
              <a:latin typeface="+mn-lt"/>
              <a:ea typeface="+mn-ea"/>
              <a:cs typeface="+mn-cs"/>
            </a:rPr>
            <a:t> Depatment Referral</a:t>
          </a:r>
        </a:p>
      </xdr:txBody>
    </xdr:sp>
    <xdr:clientData/>
  </xdr:twoCellAnchor>
  <mc:AlternateContent xmlns:mc="http://schemas.openxmlformats.org/markup-compatibility/2006">
    <mc:Choice xmlns:a14="http://schemas.microsoft.com/office/drawing/2010/main" Requires="a14">
      <xdr:twoCellAnchor editAs="oneCell">
        <xdr:from>
          <xdr:col>1</xdr:col>
          <xdr:colOff>288234</xdr:colOff>
          <xdr:row>7</xdr:row>
          <xdr:rowOff>66583</xdr:rowOff>
        </xdr:from>
        <xdr:to>
          <xdr:col>7</xdr:col>
          <xdr:colOff>23825</xdr:colOff>
          <xdr:row>10</xdr:row>
          <xdr:rowOff>32465</xdr:rowOff>
        </xdr:to>
        <xdr:pic>
          <xdr:nvPicPr>
            <xdr:cNvPr id="58" name="Picture 57">
              <a:extLst>
                <a:ext uri="{FF2B5EF4-FFF2-40B4-BE49-F238E27FC236}">
                  <a16:creationId xmlns:a16="http://schemas.microsoft.com/office/drawing/2014/main" id="{5BF063BD-BDBF-A551-3FAA-6CD407C0B09B}"/>
                </a:ext>
              </a:extLst>
            </xdr:cNvPr>
            <xdr:cNvPicPr>
              <a:picLocks noChangeAspect="1" noChangeArrowheads="1"/>
              <a:extLst>
                <a:ext uri="{84589F7E-364E-4C9E-8A38-B11213B215E9}">
                  <a14:cameraTool cellRange="'Pivot Report'!$A$26:$D$28" spid="_x0000_s2092"/>
                </a:ext>
              </a:extLst>
            </xdr:cNvPicPr>
          </xdr:nvPicPr>
          <xdr:blipFill>
            <a:blip xmlns:r="http://schemas.openxmlformats.org/officeDocument/2006/relationships" r:embed="rId18"/>
            <a:srcRect/>
            <a:stretch>
              <a:fillRect/>
            </a:stretch>
          </xdr:blipFill>
          <xdr:spPr bwMode="auto">
            <a:xfrm>
              <a:off x="898781" y="1358670"/>
              <a:ext cx="3398870" cy="519634"/>
            </a:xfrm>
            <a:prstGeom prst="roundRect">
              <a:avLst>
                <a:gd name="adj" fmla="val 10475"/>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42596</xdr:colOff>
      <xdr:row>1</xdr:row>
      <xdr:rowOff>66261</xdr:rowOff>
    </xdr:from>
    <xdr:to>
      <xdr:col>3</xdr:col>
      <xdr:colOff>601080</xdr:colOff>
      <xdr:row>2</xdr:row>
      <xdr:rowOff>47329</xdr:rowOff>
    </xdr:to>
    <xdr:sp macro="" textlink="">
      <xdr:nvSpPr>
        <xdr:cNvPr id="59" name="TextBox 58">
          <a:extLst>
            <a:ext uri="{FF2B5EF4-FFF2-40B4-BE49-F238E27FC236}">
              <a16:creationId xmlns:a16="http://schemas.microsoft.com/office/drawing/2014/main" id="{7FFA8B8F-031B-4EEF-BD68-518F0FF432D7}"/>
            </a:ext>
          </a:extLst>
        </xdr:cNvPr>
        <xdr:cNvSpPr txBox="1"/>
      </xdr:nvSpPr>
      <xdr:spPr>
        <a:xfrm>
          <a:off x="1263689" y="250845"/>
          <a:ext cx="116903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100" b="1">
              <a:latin typeface="Forte" panose="03060902040502070203" pitchFamily="66" charset="0"/>
            </a:rPr>
            <a:t>       DASHBOARD   </a:t>
          </a:r>
        </a:p>
      </xdr:txBody>
    </xdr:sp>
    <xdr:clientData/>
  </xdr:twoCellAnchor>
  <xdr:twoCellAnchor editAs="absolute">
    <xdr:from>
      <xdr:col>0</xdr:col>
      <xdr:colOff>195680</xdr:colOff>
      <xdr:row>3</xdr:row>
      <xdr:rowOff>95236</xdr:rowOff>
    </xdr:from>
    <xdr:to>
      <xdr:col>1</xdr:col>
      <xdr:colOff>103429</xdr:colOff>
      <xdr:row>4</xdr:row>
      <xdr:rowOff>58049</xdr:rowOff>
    </xdr:to>
    <xdr:sp macro="" textlink="">
      <xdr:nvSpPr>
        <xdr:cNvPr id="60" name="TextBox 59">
          <a:extLst>
            <a:ext uri="{FF2B5EF4-FFF2-40B4-BE49-F238E27FC236}">
              <a16:creationId xmlns:a16="http://schemas.microsoft.com/office/drawing/2014/main" id="{3A83E238-98A4-45D6-9FEC-43371519B71C}"/>
            </a:ext>
          </a:extLst>
        </xdr:cNvPr>
        <xdr:cNvSpPr txBox="1"/>
      </xdr:nvSpPr>
      <xdr:spPr>
        <a:xfrm>
          <a:off x="195680" y="645033"/>
          <a:ext cx="515420" cy="14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dk1"/>
              </a:solidFill>
              <a:latin typeface="Times New Roman" panose="02020603050405020304" pitchFamily="18" charset="0"/>
              <a:ea typeface="+mn-ea"/>
              <a:cs typeface="Times New Roman" panose="02020603050405020304" pitchFamily="18" charset="0"/>
            </a:rPr>
            <a:t>Month</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2</xdr:row>
      <xdr:rowOff>22860</xdr:rowOff>
    </xdr:from>
    <xdr:to>
      <xdr:col>13</xdr:col>
      <xdr:colOff>388620</xdr:colOff>
      <xdr:row>20</xdr:row>
      <xdr:rowOff>152400</xdr:rowOff>
    </xdr:to>
    <xdr:graphicFrame macro="">
      <xdr:nvGraphicFramePr>
        <xdr:cNvPr id="2" name="Chart 1">
          <a:extLst>
            <a:ext uri="{FF2B5EF4-FFF2-40B4-BE49-F238E27FC236}">
              <a16:creationId xmlns:a16="http://schemas.microsoft.com/office/drawing/2014/main" id="{DA4F0011-FF3C-4FDE-A5CB-2D553E163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22</xdr:row>
      <xdr:rowOff>0</xdr:rowOff>
    </xdr:from>
    <xdr:to>
      <xdr:col>10</xdr:col>
      <xdr:colOff>320041</xdr:colOff>
      <xdr:row>24</xdr:row>
      <xdr:rowOff>10536</xdr:rowOff>
    </xdr:to>
    <xdr:sp macro="" textlink="">
      <xdr:nvSpPr>
        <xdr:cNvPr id="3" name="TextBox 2">
          <a:extLst>
            <a:ext uri="{FF2B5EF4-FFF2-40B4-BE49-F238E27FC236}">
              <a16:creationId xmlns:a16="http://schemas.microsoft.com/office/drawing/2014/main" id="{C698F965-B865-415A-BC9F-2B4A4B25D355}"/>
            </a:ext>
          </a:extLst>
        </xdr:cNvPr>
        <xdr:cNvSpPr txBox="1"/>
      </xdr:nvSpPr>
      <xdr:spPr>
        <a:xfrm>
          <a:off x="609601" y="4023360"/>
          <a:ext cx="5806440" cy="376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effectLst/>
            </a:rPr>
            <a:t>An area Chart to spot patterns like busy days or seasonal trends.</a:t>
          </a:r>
          <a:endParaRPr lang="en-IN" sz="1200">
            <a:effectLst/>
          </a:endParaRPr>
        </a:p>
        <a:p>
          <a:endParaRPr lang="en-IN" sz="1100"/>
        </a:p>
      </xdr:txBody>
    </xdr:sp>
    <xdr:clientData/>
  </xdr:twoCellAnchor>
  <xdr:twoCellAnchor editAs="oneCell">
    <xdr:from>
      <xdr:col>0</xdr:col>
      <xdr:colOff>114300</xdr:colOff>
      <xdr:row>4</xdr:row>
      <xdr:rowOff>60960</xdr:rowOff>
    </xdr:from>
    <xdr:to>
      <xdr:col>0</xdr:col>
      <xdr:colOff>548640</xdr:colOff>
      <xdr:row>6</xdr:row>
      <xdr:rowOff>129540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142CD62-93E8-4BAB-9B60-B823548781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792480"/>
          <a:ext cx="434340" cy="434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248093</xdr:colOff>
      <xdr:row>2</xdr:row>
      <xdr:rowOff>28223</xdr:rowOff>
    </xdr:from>
    <xdr:to>
      <xdr:col>15</xdr:col>
      <xdr:colOff>175846</xdr:colOff>
      <xdr:row>28</xdr:row>
      <xdr:rowOff>50321</xdr:rowOff>
    </xdr:to>
    <xdr:graphicFrame macro="">
      <xdr:nvGraphicFramePr>
        <xdr:cNvPr id="2" name="Chart 1">
          <a:extLst>
            <a:ext uri="{FF2B5EF4-FFF2-40B4-BE49-F238E27FC236}">
              <a16:creationId xmlns:a16="http://schemas.microsoft.com/office/drawing/2014/main" id="{DA8E36CC-1FB0-4CBE-82A7-3A0873ACF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385704</xdr:colOff>
      <xdr:row>28</xdr:row>
      <xdr:rowOff>122296</xdr:rowOff>
    </xdr:from>
    <xdr:to>
      <xdr:col>12</xdr:col>
      <xdr:colOff>592665</xdr:colOff>
      <xdr:row>30</xdr:row>
      <xdr:rowOff>141111</xdr:rowOff>
    </xdr:to>
    <xdr:sp macro="" textlink="">
      <xdr:nvSpPr>
        <xdr:cNvPr id="3" name="TextBox 2">
          <a:extLst>
            <a:ext uri="{FF2B5EF4-FFF2-40B4-BE49-F238E27FC236}">
              <a16:creationId xmlns:a16="http://schemas.microsoft.com/office/drawing/2014/main" id="{70CB0DD8-5EFE-AFCA-912B-C7BA399C02D9}"/>
            </a:ext>
          </a:extLst>
        </xdr:cNvPr>
        <xdr:cNvSpPr txBox="1"/>
      </xdr:nvSpPr>
      <xdr:spPr>
        <a:xfrm>
          <a:off x="385704" y="5127037"/>
          <a:ext cx="7544739" cy="376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 An area chart  shows</a:t>
          </a:r>
          <a:r>
            <a:rPr lang="en-US" sz="1200" b="1" baseline="0">
              <a:effectLst/>
            </a:rPr>
            <a:t> </a:t>
          </a:r>
          <a:r>
            <a:rPr lang="en-US" sz="1200" b="1">
              <a:effectLst/>
            </a:rPr>
            <a:t>daily changes and highlight days with longer wait times that might need improvements.</a:t>
          </a:r>
          <a:endParaRPr lang="en-IN" sz="1200" b="1">
            <a:effectLst/>
          </a:endParaRPr>
        </a:p>
        <a:p>
          <a:endParaRPr lang="en-IN"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0.0062</cdr:x>
      <cdr:y>0.00197</cdr:y>
    </cdr:from>
    <cdr:to>
      <cdr:x>0.07198</cdr:x>
      <cdr:y>0.12699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EE76F6-95AE-72BD-91C8-6F8E1F53A03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6445" y="9408"/>
          <a:ext cx="598573" cy="598573"/>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68580</xdr:colOff>
      <xdr:row>3</xdr:row>
      <xdr:rowOff>0</xdr:rowOff>
    </xdr:from>
    <xdr:to>
      <xdr:col>13</xdr:col>
      <xdr:colOff>312420</xdr:colOff>
      <xdr:row>21</xdr:row>
      <xdr:rowOff>83820</xdr:rowOff>
    </xdr:to>
    <xdr:graphicFrame macro="">
      <xdr:nvGraphicFramePr>
        <xdr:cNvPr id="3" name="Chart 2">
          <a:extLst>
            <a:ext uri="{FF2B5EF4-FFF2-40B4-BE49-F238E27FC236}">
              <a16:creationId xmlns:a16="http://schemas.microsoft.com/office/drawing/2014/main" id="{FD97B4E3-98FD-4F0B-9E6E-1A66C3CAA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22</xdr:row>
      <xdr:rowOff>0</xdr:rowOff>
    </xdr:from>
    <xdr:to>
      <xdr:col>11</xdr:col>
      <xdr:colOff>0</xdr:colOff>
      <xdr:row>24</xdr:row>
      <xdr:rowOff>10536</xdr:rowOff>
    </xdr:to>
    <xdr:sp macro="" textlink="">
      <xdr:nvSpPr>
        <xdr:cNvPr id="4" name="TextBox 3">
          <a:extLst>
            <a:ext uri="{FF2B5EF4-FFF2-40B4-BE49-F238E27FC236}">
              <a16:creationId xmlns:a16="http://schemas.microsoft.com/office/drawing/2014/main" id="{16BF93DE-FF25-4B04-BF20-031B616C54BC}"/>
            </a:ext>
          </a:extLst>
        </xdr:cNvPr>
        <xdr:cNvSpPr txBox="1"/>
      </xdr:nvSpPr>
      <xdr:spPr>
        <a:xfrm>
          <a:off x="342900" y="4023360"/>
          <a:ext cx="6362700" cy="376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0" rtlCol="0" anchor="t"/>
        <a:lstStyle/>
        <a:p>
          <a:r>
            <a:rPr lang="en-US" sz="1200">
              <a:effectLst/>
            </a:rPr>
            <a:t>An</a:t>
          </a:r>
          <a:r>
            <a:rPr lang="en-US" sz="1200" baseline="0">
              <a:effectLst/>
            </a:rPr>
            <a:t> </a:t>
          </a:r>
          <a:r>
            <a:rPr lang="en-US" sz="1200">
              <a:effectLst/>
            </a:rPr>
            <a:t> Area Chart to show trends, spot drops in satisfaction, and link them to busy times or challenges.</a:t>
          </a:r>
          <a:endParaRPr lang="en-IN" sz="1200">
            <a:effectLst/>
          </a:endParaRPr>
        </a:p>
        <a:p>
          <a:endParaRPr lang="en-IN" sz="1100"/>
        </a:p>
      </xdr:txBody>
    </xdr:sp>
    <xdr:clientData/>
  </xdr:twoCellAnchor>
  <xdr:twoCellAnchor editAs="oneCell">
    <xdr:from>
      <xdr:col>0</xdr:col>
      <xdr:colOff>121920</xdr:colOff>
      <xdr:row>4</xdr:row>
      <xdr:rowOff>175260</xdr:rowOff>
    </xdr:from>
    <xdr:to>
      <xdr:col>0</xdr:col>
      <xdr:colOff>556260</xdr:colOff>
      <xdr:row>7</xdr:row>
      <xdr:rowOff>60960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B7F5E071-C277-3066-5899-0D6934C1DC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 y="906780"/>
          <a:ext cx="434340" cy="4343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6828704" createdVersion="5" refreshedVersion="8" minRefreshableVersion="3" recordCount="0" supportSubquery="1" supportAdvancedDrill="1" xr:uid="{2F0A3906-DA61-4F23-8EEF-26C0CFC36BBB}">
  <cacheSource type="external" connectionId="3"/>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7175927" createdVersion="5" refreshedVersion="8" minRefreshableVersion="3" recordCount="0" supportSubquery="1" supportAdvancedDrill="1" xr:uid="{D8C48EFB-8056-4E81-A2DA-9C8CEAA80686}">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7291666" createdVersion="5" refreshedVersion="8" minRefreshableVersion="3" recordCount="0" supportSubquery="1" supportAdvancedDrill="1" xr:uid="{84A54600-53BC-4CA7-9ECB-DBE8A3228CD6}">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7291666" createdVersion="5" refreshedVersion="8" minRefreshableVersion="3" recordCount="0" supportSubquery="1" supportAdvancedDrill="1" xr:uid="{F7C83984-D875-4FAA-8250-578F9E05115E}">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7754628" createdVersion="5" refreshedVersion="8" minRefreshableVersion="3" recordCount="0" supportSubquery="1" supportAdvancedDrill="1" xr:uid="{D00B083C-970A-4F2C-8B91-FFCFE66A790C}">
  <cacheSource type="external" connectionId="3"/>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821759" createdVersion="5" refreshedVersion="8" minRefreshableVersion="3" recordCount="0" supportSubquery="1" supportAdvancedDrill="1" xr:uid="{1A6A0403-0209-4A6D-A0BF-4AF09D6CBAFE}">
  <cacheSource type="external" connectionId="3"/>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8796298" createdVersion="5" refreshedVersion="8" minRefreshableVersion="3" recordCount="0" supportSubquery="1" supportAdvancedDrill="1" xr:uid="{944C0D19-DB0F-4CDF-9C9C-30049D0CE8FB}">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9143521" createdVersion="5" refreshedVersion="8" minRefreshableVersion="3" recordCount="0" supportSubquery="1" supportAdvancedDrill="1" xr:uid="{828F637D-007F-4B99-A343-92489CB51ADF}">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9490744" createdVersion="5" refreshedVersion="8" minRefreshableVersion="3" recordCount="0" supportSubquery="1" supportAdvancedDrill="1" xr:uid="{4455ED47-0D32-4939-9EFF-5BBF82F5B3B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0983796" createdVersion="5" refreshedVersion="8" minRefreshableVersion="3" recordCount="0" supportSubquery="1" supportAdvancedDrill="1" xr:uid="{01359B3E-3F71-42D8-8D5E-D79DDE3BDE81}">
  <cacheSource type="external" connectionId="3"/>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4"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10185184" createdVersion="5" refreshedVersion="8" minRefreshableVersion="3" recordCount="0" supportSubquery="1" supportAdvancedDrill="1" xr:uid="{EDBAEF75-25F5-4114-8EDC-F042E577C73D}">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966610532407" createdVersion="5" refreshedVersion="8" minRefreshableVersion="3" recordCount="0" supportSubquery="1" supportAdvancedDrill="1" xr:uid="{FD7DD962-C842-4475-9BB0-996570DC64F1}">
  <cacheSource type="external" connectionId="3"/>
  <cacheFields count="4">
    <cacheField name="[Calender_Table].[Date (Month)].[Date (Month)]" caption="Date (Month)" numFmtId="0" hierarchy="1" level="1">
      <sharedItems count="1">
        <s v="Jun"/>
      </sharedItems>
    </cacheField>
    <cacheField name="[Calende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5924.856650810187" createdVersion="3" refreshedVersion="8" minRefreshableVersion="3" recordCount="0" supportSubquery="1" supportAdvancedDrill="1" xr:uid="{02FF238B-C7C0-4A80-A60A-19D55D841A27}">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21339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DB307-0F6D-4E26-B922-EA92984DC55D}" name="PivotTable12" cacheId="11" applyNumberFormats="0" applyBorderFormats="0" applyFontFormats="0" applyPatternFormats="0" applyAlignmentFormats="0" applyWidthHeightFormats="1" dataCaption="Values" tag="0823f7d7-e1c6-49d8-bb62-63c5dd019340" updatedVersion="8" minRefreshableVersion="3" subtotalHiddenItems="1" itemPrintTitles="1" createdVersion="5" indent="0" outline="1" outlineData="1" multipleFieldFilters="0" chartFormat="16">
  <location ref="A38:A4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618E74-4179-480F-96A5-1D0A90E0D07C}" name="PivotTable11" cacheId="10" applyNumberFormats="0" applyBorderFormats="0" applyFontFormats="0" applyPatternFormats="0" applyAlignmentFormats="0" applyWidthHeightFormats="1" dataCaption="Values" tag="198dc8f2-4938-431e-b345-4a1b150057de" updatedVersion="8" minRefreshableVersion="3" subtotalHiddenItems="1" itemPrintTitles="1" createdVersion="5" indent="0" outline="1" outlineData="1" multipleFieldFilters="0" chartFormat="20">
  <location ref="E54:F6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4"/>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7AC1D-8488-45CA-9BAD-5E2EAFCE2C54}" name="PivotTable7" cacheId="6" applyNumberFormats="0" applyBorderFormats="0" applyFontFormats="0" applyPatternFormats="0" applyAlignmentFormats="0" applyWidthHeightFormats="1" dataCaption="Values" tag="f6ae0f91-01c9-4212-b60e-efc901caf3d1" updatedVersion="8" minRefreshableVersion="3" subtotalHiddenItems="1" itemPrintTitles="1" createdVersion="5" indent="0" outline="1" outlineData="1" multipleFieldFilters="0" chartFormat="2">
  <location ref="A20:C2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4">
      <pivotArea outline="0" collapsedLevelsAreSubtotals="1" fieldPosition="0"/>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F0F2E-F6A5-44ED-A3D9-E5D3A3E5E2B6}" name="PivotTable4" cacheId="0" applyNumberFormats="0" applyBorderFormats="0" applyFontFormats="0" applyPatternFormats="0" applyAlignmentFormats="0" applyWidthHeightFormats="1" dataCaption="Values" tag="b4d9f94b-e2d6-462f-9fb5-1e67219aac58" updatedVersion="8" minRefreshableVersion="3" useAutoFormatting="1" subtotalHiddenItems="1" itemPrintTitles="1" createdVersion="5" indent="0" outline="1" outlineData="1" multipleFieldFilters="0" chartFormat="21">
  <location ref="H9:I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3">
    <chartFormat chart="17" format="15"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77219-044F-4337-9637-993311B2155C}" name="PivotTable1" cacheId="1" applyNumberFormats="0" applyBorderFormats="0" applyFontFormats="0" applyPatternFormats="0" applyAlignmentFormats="0" applyWidthHeightFormats="1" dataCaption="Values" tag="57507126-c170-432b-87e0-6fa7df71e056" updatedVersion="8" minRefreshableVersion="3" subtotalHiddenItems="1" itemPrintTitles="1" createdVersion="5" indent="0" outline="1" outlineData="1" multipleFieldFilters="0">
  <location ref="E4:E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E2CFBC-531C-461B-8539-13FE6664E2CE}" name="PivotTable9" cacheId="8" applyNumberFormats="0" applyBorderFormats="0" applyFontFormats="0" applyPatternFormats="0" applyAlignmentFormats="0" applyWidthHeightFormats="1" dataCaption="Values" tag="e754bffa-00d3-444f-b607-4e25a685128f" updatedVersion="8" minRefreshableVersion="3" subtotalHiddenItems="1" itemPrintTitles="1" createdVersion="5" indent="0" outline="1" outlineData="1" multipleFieldFilters="0" chartFormat="21">
  <location ref="E31:F3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CCBEB6-CB5A-4E66-97A5-F36A4FDBC54C}" name="PivotTable3" cacheId="3" applyNumberFormats="0" applyBorderFormats="0" applyFontFormats="0" applyPatternFormats="0" applyAlignmentFormats="0" applyWidthHeightFormats="1" dataCaption="Values" tag="0fd9eef8-6093-48a6-b0b8-7f4ff1adb3e6" updatedVersion="8" minRefreshableVersion="3" subtotalHiddenItems="1" itemPrintTitles="1" createdVersion="5" indent="0" outline="1" outlineData="1" multipleFieldFilters="0">
  <location ref="K4:K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8">
      <pivotArea outline="0" collapsedLevelsAreSubtotals="1" fieldPosition="0"/>
    </format>
    <format dxfId="7">
      <pivotArea outline="0" fieldPosition="0">
        <references count="1">
          <reference field="4294967294" count="1">
            <x v="0"/>
          </reference>
        </references>
      </pivotArea>
    </format>
  </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E82857-5CB6-4345-99CB-AD0DF2F9F34F}" name="PivotTable6" cacheId="5" applyNumberFormats="0" applyBorderFormats="0" applyFontFormats="0" applyPatternFormats="0" applyAlignmentFormats="0" applyWidthHeightFormats="1" dataCaption="Values" tag="82da0a8e-44fd-4e44-9e44-cee9e091b781" updatedVersion="8" minRefreshableVersion="3" useAutoFormatting="1" subtotalHiddenItems="1" itemPrintTitles="1" createdVersion="5" indent="0" outline="1" outlineData="1" multipleFieldFilters="0" chartFormat="26">
  <location ref="H46:I7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A41B89-44D8-4EEE-8CEE-7E63670A0A8C}" name="PivotTable8" cacheId="7" applyNumberFormats="0" applyBorderFormats="0" applyFontFormats="0" applyPatternFormats="0" applyAlignmentFormats="0" applyWidthHeightFormats="1" dataCaption="Values" tag="b8577324-5a9b-4826-b662-c71e2a12ca49" updatedVersion="8" minRefreshableVersion="3" subtotalHiddenItems="1" itemPrintTitles="1" createdVersion="5" indent="0" outline="1" outlineData="1" multipleFieldFilters="0" chartFormat="11">
  <location ref="E9:F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1">
    <format dxfId="1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5"/>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BEC88F-81EF-4AE8-B0E9-75C4DB83B33B}" name="PivotTable10" cacheId="9" applyNumberFormats="0" applyBorderFormats="0" applyFontFormats="0" applyPatternFormats="0" applyAlignmentFormats="0" applyWidthHeightFormats="1" dataCaption="Values" tag="d3937e47-239a-42dc-926d-e6cae5f610da" updatedVersion="8" minRefreshableVersion="3" subtotalHiddenItems="1" itemPrintTitles="1" createdVersion="5" indent="0" outline="1" outlineData="1" multipleFieldFilters="0" chartFormat="18">
  <location ref="E42:F4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11">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99B371-60F4-4020-AB95-1398FD147966}" name="PivotTable2" cacheId="2" applyNumberFormats="0" applyBorderFormats="0" applyFontFormats="0" applyPatternFormats="0" applyAlignmentFormats="0" applyWidthHeightFormats="1" dataCaption="Values" tag="fa9b2d70-d554-42aa-837d-6f2e9d022dad" updatedVersion="8" minRefreshableVersion="3" subtotalHiddenItems="1" itemPrintTitles="1" createdVersion="5" indent="0" outline="1" outlineData="1" multipleFieldFilters="0">
  <location ref="H4: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13">
      <pivotArea outline="0" collapsedLevelsAreSubtotals="1" fieldPosition="0"/>
    </format>
    <format dxfId="12">
      <pivotArea outline="0" fieldPosition="0">
        <references count="1">
          <reference field="4294967294" count="1">
            <x v="0"/>
          </reference>
        </references>
      </pivotArea>
    </format>
  </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71BE3B-CCE8-4032-95AC-774545C0C849}" name="PivotTable5" cacheId="4" applyNumberFormats="0" applyBorderFormats="0" applyFontFormats="0" applyPatternFormats="0" applyAlignmentFormats="0" applyWidthHeightFormats="1" dataCaption="Values" tag="220c8328-96eb-462e-9797-c25ea45a7fbb" updatedVersion="8" minRefreshableVersion="3" useAutoFormatting="1" subtotalHiddenItems="1" itemPrintTitles="1" createdVersion="5" indent="0" outline="1" outlineData="1" multipleFieldFilters="0" chartFormat="19">
  <location ref="K9:L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4">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083E8AE-56E3-4C56-9F27-7F841E647F5C}"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721339392">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B7D26AC-94C1-48B0-96ED-858AA79D961A}"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2133939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ED2A730-063E-4B1A-8BD8-0CAF917DFA04}" cache="Slicer_Date__Month" showCaption="0" level="1" style="My Style" rowHeight="126000"/>
  <slicer name="Date (Year) 1" xr10:uid="{55DA740A-2240-4D26-8192-9A1767CFCC4F}" cache="Slicer_Date__Year" caption="Date (Year)" columnCount="2" showCaption="0" level="1" style="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EC2B-D91E-4967-95BB-3FB995906457}">
  <dimension ref="A3:L77"/>
  <sheetViews>
    <sheetView zoomScale="45" workbookViewId="0">
      <selection activeCell="K3" sqref="K3"/>
    </sheetView>
  </sheetViews>
  <sheetFormatPr defaultRowHeight="14.4" x14ac:dyDescent="0.3"/>
  <cols>
    <col min="1" max="1" width="15.6640625" customWidth="1"/>
    <col min="2" max="2" width="9.77734375" customWidth="1"/>
    <col min="3" max="3" width="11.33203125" customWidth="1"/>
    <col min="4" max="4" width="8.6640625" customWidth="1"/>
    <col min="5" max="5" width="32.6640625" bestFit="1" customWidth="1"/>
    <col min="6" max="6" width="38.77734375" bestFit="1" customWidth="1"/>
    <col min="7" max="7" width="25.21875" bestFit="1" customWidth="1"/>
    <col min="8" max="8" width="32.21875" bestFit="1" customWidth="1"/>
    <col min="9" max="9" width="43.5546875" bestFit="1" customWidth="1"/>
    <col min="10" max="10" width="10" customWidth="1"/>
    <col min="11" max="11" width="43.5546875" bestFit="1" customWidth="1"/>
    <col min="12" max="12" width="32.21875" bestFit="1" customWidth="1"/>
    <col min="15" max="15" width="12.44140625" bestFit="1" customWidth="1"/>
    <col min="16" max="16" width="31.77734375" bestFit="1" customWidth="1"/>
    <col min="17" max="17" width="12.44140625" bestFit="1" customWidth="1"/>
    <col min="18" max="18" width="24.21875" bestFit="1" customWidth="1"/>
    <col min="20" max="20" width="12.44140625" bestFit="1" customWidth="1"/>
    <col min="21" max="21" width="31.77734375" bestFit="1" customWidth="1"/>
  </cols>
  <sheetData>
    <row r="3" spans="5:12" x14ac:dyDescent="0.3">
      <c r="E3" s="15" t="s">
        <v>72</v>
      </c>
      <c r="H3" s="15" t="s">
        <v>73</v>
      </c>
      <c r="K3" s="15" t="s">
        <v>74</v>
      </c>
    </row>
    <row r="4" spans="5:12" x14ac:dyDescent="0.3">
      <c r="E4" t="s">
        <v>0</v>
      </c>
      <c r="H4" t="s">
        <v>1</v>
      </c>
      <c r="K4" t="s">
        <v>2</v>
      </c>
    </row>
    <row r="5" spans="5:12" x14ac:dyDescent="0.3">
      <c r="E5">
        <v>464</v>
      </c>
      <c r="H5" s="2">
        <v>35.185344827586206</v>
      </c>
      <c r="K5" s="2">
        <v>5.0928571428571425</v>
      </c>
    </row>
    <row r="7" spans="5:12" x14ac:dyDescent="0.3">
      <c r="E7" s="9"/>
    </row>
    <row r="8" spans="5:12" x14ac:dyDescent="0.3">
      <c r="E8" s="16" t="s">
        <v>68</v>
      </c>
      <c r="F8" s="17"/>
      <c r="H8" s="16" t="s">
        <v>69</v>
      </c>
      <c r="I8" s="17"/>
    </row>
    <row r="9" spans="5:12" x14ac:dyDescent="0.3">
      <c r="E9" s="1" t="s">
        <v>3</v>
      </c>
      <c r="F9" t="s">
        <v>49</v>
      </c>
      <c r="H9" s="1" t="s">
        <v>3</v>
      </c>
      <c r="I9" t="s">
        <v>2</v>
      </c>
      <c r="K9" s="1" t="s">
        <v>3</v>
      </c>
      <c r="L9" t="s">
        <v>1</v>
      </c>
    </row>
    <row r="10" spans="5:12" x14ac:dyDescent="0.3">
      <c r="E10" s="5" t="s">
        <v>41</v>
      </c>
      <c r="F10" s="3">
        <v>63</v>
      </c>
      <c r="H10" s="5" t="s">
        <v>6</v>
      </c>
      <c r="I10" s="3">
        <v>4.666666666666667</v>
      </c>
      <c r="K10" s="5" t="s">
        <v>6</v>
      </c>
      <c r="L10" s="3">
        <v>35.117647058823529</v>
      </c>
    </row>
    <row r="11" spans="5:12" x14ac:dyDescent="0.3">
      <c r="E11" s="5" t="s">
        <v>42</v>
      </c>
      <c r="F11" s="3">
        <v>65</v>
      </c>
      <c r="H11" s="5" t="s">
        <v>7</v>
      </c>
      <c r="I11" s="3">
        <v>4.666666666666667</v>
      </c>
      <c r="K11" s="5" t="s">
        <v>7</v>
      </c>
      <c r="L11" s="3">
        <v>28.916666666666668</v>
      </c>
    </row>
    <row r="12" spans="5:12" x14ac:dyDescent="0.3">
      <c r="E12" s="5" t="s">
        <v>43</v>
      </c>
      <c r="F12" s="3">
        <v>49</v>
      </c>
      <c r="H12" s="5" t="s">
        <v>8</v>
      </c>
      <c r="I12" s="3">
        <v>5.4</v>
      </c>
      <c r="K12" s="5" t="s">
        <v>8</v>
      </c>
      <c r="L12" s="3">
        <v>34.357142857142854</v>
      </c>
    </row>
    <row r="13" spans="5:12" x14ac:dyDescent="0.3">
      <c r="E13" s="5" t="s">
        <v>44</v>
      </c>
      <c r="F13" s="3">
        <v>61</v>
      </c>
      <c r="H13" s="5" t="s">
        <v>9</v>
      </c>
      <c r="I13" s="3">
        <v>5.2</v>
      </c>
      <c r="K13" s="5" t="s">
        <v>9</v>
      </c>
      <c r="L13" s="3">
        <v>29.705882352941178</v>
      </c>
    </row>
    <row r="14" spans="5:12" x14ac:dyDescent="0.3">
      <c r="E14" s="5" t="s">
        <v>45</v>
      </c>
      <c r="F14" s="3">
        <v>56</v>
      </c>
      <c r="H14" s="5" t="s">
        <v>10</v>
      </c>
      <c r="I14" s="3">
        <v>2.4285714285714284</v>
      </c>
      <c r="K14" s="5" t="s">
        <v>10</v>
      </c>
      <c r="L14" s="3">
        <v>33.176470588235297</v>
      </c>
    </row>
    <row r="15" spans="5:12" x14ac:dyDescent="0.3">
      <c r="E15" s="5" t="s">
        <v>46</v>
      </c>
      <c r="F15" s="3">
        <v>61</v>
      </c>
      <c r="H15" s="5" t="s">
        <v>11</v>
      </c>
      <c r="I15" s="3">
        <v>4.8</v>
      </c>
      <c r="K15" s="5" t="s">
        <v>11</v>
      </c>
      <c r="L15" s="3">
        <v>39.8125</v>
      </c>
    </row>
    <row r="16" spans="5:12" x14ac:dyDescent="0.3">
      <c r="E16" s="5" t="s">
        <v>47</v>
      </c>
      <c r="F16" s="3">
        <v>62</v>
      </c>
      <c r="H16" s="5" t="s">
        <v>12</v>
      </c>
      <c r="I16" s="3">
        <v>6.5714285714285712</v>
      </c>
      <c r="K16" s="5" t="s">
        <v>12</v>
      </c>
      <c r="L16" s="3">
        <v>36.578947368421055</v>
      </c>
    </row>
    <row r="17" spans="1:12" x14ac:dyDescent="0.3">
      <c r="E17" s="5" t="s">
        <v>48</v>
      </c>
      <c r="F17" s="3">
        <v>47</v>
      </c>
      <c r="H17" s="5" t="s">
        <v>13</v>
      </c>
      <c r="I17" s="3">
        <v>3</v>
      </c>
      <c r="K17" s="5" t="s">
        <v>13</v>
      </c>
      <c r="L17" s="3">
        <v>34.5</v>
      </c>
    </row>
    <row r="18" spans="1:12" x14ac:dyDescent="0.3">
      <c r="E18" s="5" t="s">
        <v>4</v>
      </c>
      <c r="F18" s="3">
        <v>464</v>
      </c>
      <c r="H18" s="5" t="s">
        <v>14</v>
      </c>
      <c r="I18" s="3">
        <v>4.5999999999999996</v>
      </c>
      <c r="K18" s="5" t="s">
        <v>14</v>
      </c>
      <c r="L18" s="3">
        <v>39.764705882352942</v>
      </c>
    </row>
    <row r="19" spans="1:12" x14ac:dyDescent="0.3">
      <c r="H19" s="5" t="s">
        <v>15</v>
      </c>
      <c r="I19" s="3">
        <v>3.875</v>
      </c>
      <c r="K19" s="5" t="s">
        <v>15</v>
      </c>
      <c r="L19" s="3">
        <v>35.230769230769234</v>
      </c>
    </row>
    <row r="20" spans="1:12" x14ac:dyDescent="0.3">
      <c r="A20" s="1" t="s">
        <v>3</v>
      </c>
      <c r="B20" t="s">
        <v>36</v>
      </c>
      <c r="C20" t="s">
        <v>39</v>
      </c>
      <c r="H20" s="5" t="s">
        <v>16</v>
      </c>
      <c r="I20" s="3">
        <v>7.25</v>
      </c>
      <c r="K20" s="5" t="s">
        <v>16</v>
      </c>
      <c r="L20" s="3">
        <v>41.5</v>
      </c>
    </row>
    <row r="21" spans="1:12" x14ac:dyDescent="0.3">
      <c r="A21" s="5" t="s">
        <v>37</v>
      </c>
      <c r="B21" s="3">
        <v>231</v>
      </c>
      <c r="C21" s="8">
        <v>0.49784482758620691</v>
      </c>
      <c r="H21" s="5" t="s">
        <v>17</v>
      </c>
      <c r="I21" s="3">
        <v>3</v>
      </c>
      <c r="K21" s="5" t="s">
        <v>17</v>
      </c>
      <c r="L21" s="3">
        <v>38.0625</v>
      </c>
    </row>
    <row r="22" spans="1:12" x14ac:dyDescent="0.3">
      <c r="A22" s="5" t="s">
        <v>38</v>
      </c>
      <c r="B22" s="3">
        <v>233</v>
      </c>
      <c r="C22" s="8">
        <v>0.50215517241379315</v>
      </c>
      <c r="H22" s="5" t="s">
        <v>18</v>
      </c>
      <c r="I22" s="3">
        <v>8</v>
      </c>
      <c r="K22" s="5" t="s">
        <v>18</v>
      </c>
      <c r="L22" s="3">
        <v>29.222222222222221</v>
      </c>
    </row>
    <row r="23" spans="1:12" x14ac:dyDescent="0.3">
      <c r="A23" s="5" t="s">
        <v>4</v>
      </c>
      <c r="B23" s="3">
        <v>464</v>
      </c>
      <c r="C23" s="8">
        <v>1</v>
      </c>
      <c r="H23" s="5" t="s">
        <v>19</v>
      </c>
      <c r="I23" s="3">
        <v>6</v>
      </c>
      <c r="K23" s="5" t="s">
        <v>19</v>
      </c>
      <c r="L23" s="3">
        <v>31</v>
      </c>
    </row>
    <row r="24" spans="1:12" x14ac:dyDescent="0.3">
      <c r="H24" s="5" t="s">
        <v>20</v>
      </c>
      <c r="I24" s="3">
        <v>3.6666666666666665</v>
      </c>
      <c r="K24" s="5" t="s">
        <v>20</v>
      </c>
      <c r="L24" s="3">
        <v>37.3125</v>
      </c>
    </row>
    <row r="25" spans="1:12" x14ac:dyDescent="0.3">
      <c r="A25" s="5"/>
      <c r="H25" s="5" t="s">
        <v>21</v>
      </c>
      <c r="I25" s="3">
        <v>5.333333333333333</v>
      </c>
      <c r="K25" s="5" t="s">
        <v>21</v>
      </c>
      <c r="L25" s="3">
        <v>35.647058823529413</v>
      </c>
    </row>
    <row r="26" spans="1:12" x14ac:dyDescent="0.3">
      <c r="A26" s="10" t="s">
        <v>40</v>
      </c>
      <c r="B26" s="10" t="s">
        <v>64</v>
      </c>
      <c r="C26" s="10" t="s">
        <v>65</v>
      </c>
      <c r="D26" s="10" t="s">
        <v>66</v>
      </c>
      <c r="H26" s="5" t="s">
        <v>22</v>
      </c>
      <c r="I26" s="3">
        <v>6.1111111111111107</v>
      </c>
      <c r="K26" s="5" t="s">
        <v>22</v>
      </c>
      <c r="L26" s="3">
        <v>36.476190476190474</v>
      </c>
    </row>
    <row r="27" spans="1:12" x14ac:dyDescent="0.3">
      <c r="A27" s="14" t="str">
        <f>A22</f>
        <v>Not Admitted</v>
      </c>
      <c r="B27" s="11">
        <f>B22</f>
        <v>233</v>
      </c>
      <c r="C27" s="12">
        <f>C21</f>
        <v>0.49784482758620691</v>
      </c>
      <c r="D27" s="13"/>
      <c r="H27" s="5" t="s">
        <v>23</v>
      </c>
      <c r="I27" s="3">
        <v>6.5</v>
      </c>
      <c r="K27" s="5" t="s">
        <v>23</v>
      </c>
      <c r="L27" s="3">
        <v>40.799999999999997</v>
      </c>
    </row>
    <row r="28" spans="1:12" x14ac:dyDescent="0.3">
      <c r="A28" s="14" t="str">
        <f>A21</f>
        <v>Admitted</v>
      </c>
      <c r="B28" s="11">
        <f>B21</f>
        <v>231</v>
      </c>
      <c r="C28" s="12">
        <f>C22</f>
        <v>0.50215517241379315</v>
      </c>
      <c r="D28" s="13"/>
      <c r="H28" s="5" t="s">
        <v>24</v>
      </c>
      <c r="I28" s="3">
        <v>5</v>
      </c>
      <c r="K28" s="5" t="s">
        <v>24</v>
      </c>
      <c r="L28" s="3">
        <v>30.318181818181817</v>
      </c>
    </row>
    <row r="29" spans="1:12" x14ac:dyDescent="0.3">
      <c r="H29" s="5" t="s">
        <v>25</v>
      </c>
      <c r="I29" s="3">
        <v>5.8</v>
      </c>
      <c r="K29" s="5" t="s">
        <v>25</v>
      </c>
      <c r="L29" s="3">
        <v>35.714285714285715</v>
      </c>
    </row>
    <row r="30" spans="1:12" x14ac:dyDescent="0.3">
      <c r="E30" s="16" t="s">
        <v>70</v>
      </c>
      <c r="F30" s="17"/>
      <c r="H30" s="5" t="s">
        <v>26</v>
      </c>
      <c r="I30" s="3">
        <v>6</v>
      </c>
      <c r="K30" s="5" t="s">
        <v>26</v>
      </c>
      <c r="L30" s="3">
        <v>33.53846153846154</v>
      </c>
    </row>
    <row r="31" spans="1:12" x14ac:dyDescent="0.3">
      <c r="E31" s="1" t="s">
        <v>3</v>
      </c>
      <c r="F31" t="s">
        <v>52</v>
      </c>
      <c r="H31" s="5" t="s">
        <v>27</v>
      </c>
      <c r="I31" s="3">
        <v>8</v>
      </c>
      <c r="K31" s="5" t="s">
        <v>27</v>
      </c>
      <c r="L31" s="3">
        <v>37.5</v>
      </c>
    </row>
    <row r="32" spans="1:12" x14ac:dyDescent="0.3">
      <c r="E32" s="5" t="s">
        <v>51</v>
      </c>
      <c r="F32" s="3">
        <v>267</v>
      </c>
      <c r="H32" s="5" t="s">
        <v>28</v>
      </c>
      <c r="I32" s="3">
        <v>7</v>
      </c>
      <c r="K32" s="5" t="s">
        <v>28</v>
      </c>
      <c r="L32" s="3">
        <v>38.058823529411768</v>
      </c>
    </row>
    <row r="33" spans="1:12" x14ac:dyDescent="0.3">
      <c r="E33" s="5" t="s">
        <v>50</v>
      </c>
      <c r="F33" s="3">
        <v>197</v>
      </c>
      <c r="H33" s="5" t="s">
        <v>29</v>
      </c>
      <c r="I33" s="3">
        <v>3.75</v>
      </c>
      <c r="K33" s="5" t="s">
        <v>29</v>
      </c>
      <c r="L33" s="3">
        <v>28.117647058823529</v>
      </c>
    </row>
    <row r="34" spans="1:12" x14ac:dyDescent="0.3">
      <c r="E34" s="5" t="s">
        <v>4</v>
      </c>
      <c r="F34" s="3">
        <v>464</v>
      </c>
      <c r="H34" s="5" t="s">
        <v>30</v>
      </c>
      <c r="I34" s="3">
        <v>1</v>
      </c>
      <c r="K34" s="5" t="s">
        <v>30</v>
      </c>
      <c r="L34" s="3">
        <v>31.846153846153847</v>
      </c>
    </row>
    <row r="35" spans="1:12" x14ac:dyDescent="0.3">
      <c r="H35" s="5" t="s">
        <v>31</v>
      </c>
      <c r="I35" s="3">
        <v>9</v>
      </c>
      <c r="K35" s="5" t="s">
        <v>31</v>
      </c>
      <c r="L35" s="3">
        <v>43.636363636363633</v>
      </c>
    </row>
    <row r="36" spans="1:12" x14ac:dyDescent="0.3">
      <c r="H36" s="5" t="s">
        <v>32</v>
      </c>
      <c r="I36" s="3">
        <v>5.8</v>
      </c>
      <c r="K36" s="5" t="s">
        <v>32</v>
      </c>
      <c r="L36" s="3">
        <v>38.842105263157897</v>
      </c>
    </row>
    <row r="37" spans="1:12" x14ac:dyDescent="0.3">
      <c r="H37" s="5" t="s">
        <v>33</v>
      </c>
      <c r="I37" s="3">
        <v>4</v>
      </c>
      <c r="K37" s="5" t="s">
        <v>33</v>
      </c>
      <c r="L37" s="3">
        <v>29.5625</v>
      </c>
    </row>
    <row r="38" spans="1:12" x14ac:dyDescent="0.3">
      <c r="A38" s="1" t="s">
        <v>3</v>
      </c>
      <c r="H38" s="5" t="s">
        <v>34</v>
      </c>
      <c r="I38" s="3">
        <v>6.4</v>
      </c>
      <c r="K38" s="5" t="s">
        <v>34</v>
      </c>
      <c r="L38" s="3">
        <v>37.466666666666669</v>
      </c>
    </row>
    <row r="39" spans="1:12" x14ac:dyDescent="0.3">
      <c r="A39" s="5" t="s">
        <v>5</v>
      </c>
      <c r="H39" s="5" t="s">
        <v>35</v>
      </c>
      <c r="I39" s="3">
        <v>5</v>
      </c>
      <c r="K39" s="5" t="s">
        <v>35</v>
      </c>
      <c r="L39" s="3">
        <v>35.277777777777779</v>
      </c>
    </row>
    <row r="40" spans="1:12" x14ac:dyDescent="0.3">
      <c r="A40" s="5" t="s">
        <v>4</v>
      </c>
      <c r="H40" s="5" t="s">
        <v>4</v>
      </c>
      <c r="I40" s="3">
        <v>5.0928571428571425</v>
      </c>
      <c r="K40" s="5" t="s">
        <v>4</v>
      </c>
      <c r="L40" s="3">
        <v>35.185344827586206</v>
      </c>
    </row>
    <row r="41" spans="1:12" x14ac:dyDescent="0.3">
      <c r="E41" s="16" t="s">
        <v>67</v>
      </c>
      <c r="F41" s="17"/>
    </row>
    <row r="42" spans="1:12" x14ac:dyDescent="0.3">
      <c r="E42" s="1" t="s">
        <v>3</v>
      </c>
      <c r="F42" t="s">
        <v>52</v>
      </c>
    </row>
    <row r="43" spans="1:12" x14ac:dyDescent="0.3">
      <c r="E43" s="5" t="s">
        <v>53</v>
      </c>
      <c r="F43" s="3">
        <v>227</v>
      </c>
    </row>
    <row r="44" spans="1:12" x14ac:dyDescent="0.3">
      <c r="E44" s="5" t="s">
        <v>54</v>
      </c>
      <c r="F44" s="3">
        <v>237</v>
      </c>
    </row>
    <row r="45" spans="1:12" x14ac:dyDescent="0.3">
      <c r="E45" s="5" t="s">
        <v>4</v>
      </c>
      <c r="F45" s="3">
        <v>464</v>
      </c>
    </row>
    <row r="46" spans="1:12" x14ac:dyDescent="0.3">
      <c r="H46" s="1" t="s">
        <v>3</v>
      </c>
      <c r="I46" t="s">
        <v>2</v>
      </c>
    </row>
    <row r="47" spans="1:12" x14ac:dyDescent="0.3">
      <c r="H47" s="5" t="s">
        <v>6</v>
      </c>
      <c r="I47" s="3">
        <v>4.666666666666667</v>
      </c>
    </row>
    <row r="48" spans="1:12" x14ac:dyDescent="0.3">
      <c r="H48" s="5" t="s">
        <v>7</v>
      </c>
      <c r="I48" s="3">
        <v>4.666666666666667</v>
      </c>
    </row>
    <row r="49" spans="5:9" x14ac:dyDescent="0.3">
      <c r="H49" s="5" t="s">
        <v>8</v>
      </c>
      <c r="I49" s="3">
        <v>5.4</v>
      </c>
    </row>
    <row r="50" spans="5:9" x14ac:dyDescent="0.3">
      <c r="H50" s="5" t="s">
        <v>9</v>
      </c>
      <c r="I50" s="3">
        <v>5.2</v>
      </c>
    </row>
    <row r="51" spans="5:9" x14ac:dyDescent="0.3">
      <c r="H51" s="5" t="s">
        <v>10</v>
      </c>
      <c r="I51" s="3">
        <v>2.4285714285714284</v>
      </c>
    </row>
    <row r="52" spans="5:9" x14ac:dyDescent="0.3">
      <c r="H52" s="5" t="s">
        <v>11</v>
      </c>
      <c r="I52" s="3">
        <v>4.8</v>
      </c>
    </row>
    <row r="53" spans="5:9" x14ac:dyDescent="0.3">
      <c r="E53" s="16" t="s">
        <v>71</v>
      </c>
      <c r="F53" s="17"/>
      <c r="H53" s="5" t="s">
        <v>12</v>
      </c>
      <c r="I53" s="3">
        <v>6.5714285714285712</v>
      </c>
    </row>
    <row r="54" spans="5:9" x14ac:dyDescent="0.3">
      <c r="E54" s="1" t="s">
        <v>3</v>
      </c>
      <c r="F54" t="s">
        <v>63</v>
      </c>
      <c r="H54" s="5" t="s">
        <v>13</v>
      </c>
      <c r="I54" s="3">
        <v>3</v>
      </c>
    </row>
    <row r="55" spans="5:9" x14ac:dyDescent="0.3">
      <c r="E55" s="5" t="s">
        <v>62</v>
      </c>
      <c r="F55" s="3">
        <v>2</v>
      </c>
      <c r="H55" s="5" t="s">
        <v>14</v>
      </c>
      <c r="I55" s="3">
        <v>4.5999999999999996</v>
      </c>
    </row>
    <row r="56" spans="5:9" x14ac:dyDescent="0.3">
      <c r="E56" s="5" t="s">
        <v>58</v>
      </c>
      <c r="F56" s="3">
        <v>6</v>
      </c>
      <c r="H56" s="5" t="s">
        <v>15</v>
      </c>
      <c r="I56" s="3">
        <v>3.875</v>
      </c>
    </row>
    <row r="57" spans="5:9" x14ac:dyDescent="0.3">
      <c r="E57" s="5" t="s">
        <v>55</v>
      </c>
      <c r="F57" s="3">
        <v>13</v>
      </c>
      <c r="H57" s="5" t="s">
        <v>16</v>
      </c>
      <c r="I57" s="3">
        <v>7.25</v>
      </c>
    </row>
    <row r="58" spans="5:9" x14ac:dyDescent="0.3">
      <c r="E58" s="5" t="s">
        <v>56</v>
      </c>
      <c r="F58" s="3">
        <v>14</v>
      </c>
      <c r="H58" s="5" t="s">
        <v>17</v>
      </c>
      <c r="I58" s="3">
        <v>3</v>
      </c>
    </row>
    <row r="59" spans="5:9" x14ac:dyDescent="0.3">
      <c r="E59" s="5" t="s">
        <v>61</v>
      </c>
      <c r="F59" s="3">
        <v>19</v>
      </c>
      <c r="H59" s="5" t="s">
        <v>18</v>
      </c>
      <c r="I59" s="3">
        <v>8</v>
      </c>
    </row>
    <row r="60" spans="5:9" x14ac:dyDescent="0.3">
      <c r="E60" s="5" t="s">
        <v>60</v>
      </c>
      <c r="F60" s="3">
        <v>67</v>
      </c>
      <c r="H60" s="5" t="s">
        <v>19</v>
      </c>
      <c r="I60" s="3">
        <v>6</v>
      </c>
    </row>
    <row r="61" spans="5:9" x14ac:dyDescent="0.3">
      <c r="E61" s="5" t="s">
        <v>57</v>
      </c>
      <c r="F61" s="3">
        <v>91</v>
      </c>
      <c r="H61" s="5" t="s">
        <v>20</v>
      </c>
      <c r="I61" s="3">
        <v>3.6666666666666665</v>
      </c>
    </row>
    <row r="62" spans="5:9" x14ac:dyDescent="0.3">
      <c r="E62" s="5" t="s">
        <v>59</v>
      </c>
      <c r="F62" s="3">
        <v>252</v>
      </c>
      <c r="H62" s="5" t="s">
        <v>21</v>
      </c>
      <c r="I62" s="3">
        <v>5.333333333333333</v>
      </c>
    </row>
    <row r="63" spans="5:9" x14ac:dyDescent="0.3">
      <c r="E63" s="5" t="s">
        <v>4</v>
      </c>
      <c r="F63" s="3">
        <v>464</v>
      </c>
      <c r="H63" s="5" t="s">
        <v>22</v>
      </c>
      <c r="I63" s="3">
        <v>6.1111111111111107</v>
      </c>
    </row>
    <row r="64" spans="5:9" x14ac:dyDescent="0.3">
      <c r="H64" s="5" t="s">
        <v>23</v>
      </c>
      <c r="I64" s="3">
        <v>6.5</v>
      </c>
    </row>
    <row r="65" spans="8:9" x14ac:dyDescent="0.3">
      <c r="H65" s="5" t="s">
        <v>24</v>
      </c>
      <c r="I65" s="3">
        <v>5</v>
      </c>
    </row>
    <row r="66" spans="8:9" x14ac:dyDescent="0.3">
      <c r="H66" s="5" t="s">
        <v>25</v>
      </c>
      <c r="I66" s="3">
        <v>5.8</v>
      </c>
    </row>
    <row r="67" spans="8:9" x14ac:dyDescent="0.3">
      <c r="H67" s="5" t="s">
        <v>26</v>
      </c>
      <c r="I67" s="3">
        <v>6</v>
      </c>
    </row>
    <row r="68" spans="8:9" x14ac:dyDescent="0.3">
      <c r="H68" s="5" t="s">
        <v>27</v>
      </c>
      <c r="I68" s="3">
        <v>8</v>
      </c>
    </row>
    <row r="69" spans="8:9" x14ac:dyDescent="0.3">
      <c r="H69" s="5" t="s">
        <v>28</v>
      </c>
      <c r="I69" s="3">
        <v>7</v>
      </c>
    </row>
    <row r="70" spans="8:9" x14ac:dyDescent="0.3">
      <c r="H70" s="5" t="s">
        <v>29</v>
      </c>
      <c r="I70" s="3">
        <v>3.75</v>
      </c>
    </row>
    <row r="71" spans="8:9" x14ac:dyDescent="0.3">
      <c r="H71" s="5" t="s">
        <v>30</v>
      </c>
      <c r="I71" s="3">
        <v>1</v>
      </c>
    </row>
    <row r="72" spans="8:9" x14ac:dyDescent="0.3">
      <c r="H72" s="5" t="s">
        <v>31</v>
      </c>
      <c r="I72" s="3">
        <v>9</v>
      </c>
    </row>
    <row r="73" spans="8:9" x14ac:dyDescent="0.3">
      <c r="H73" s="5" t="s">
        <v>32</v>
      </c>
      <c r="I73" s="3">
        <v>5.8</v>
      </c>
    </row>
    <row r="74" spans="8:9" x14ac:dyDescent="0.3">
      <c r="H74" s="5" t="s">
        <v>33</v>
      </c>
      <c r="I74" s="3">
        <v>4</v>
      </c>
    </row>
    <row r="75" spans="8:9" x14ac:dyDescent="0.3">
      <c r="H75" s="5" t="s">
        <v>34</v>
      </c>
      <c r="I75" s="3">
        <v>6.4</v>
      </c>
    </row>
    <row r="76" spans="8:9" x14ac:dyDescent="0.3">
      <c r="H76" s="5" t="s">
        <v>35</v>
      </c>
      <c r="I76" s="3">
        <v>5</v>
      </c>
    </row>
    <row r="77" spans="8:9" x14ac:dyDescent="0.3">
      <c r="H77" s="5" t="s">
        <v>4</v>
      </c>
      <c r="I77" s="3">
        <v>5.0928571428571425</v>
      </c>
    </row>
  </sheetData>
  <mergeCells count="5">
    <mergeCell ref="E41:F41"/>
    <mergeCell ref="E53:F53"/>
    <mergeCell ref="E8:F8"/>
    <mergeCell ref="H8:I8"/>
    <mergeCell ref="E30:F30"/>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4F0B-7B55-4F34-BC3E-A111C8A900F7}">
  <dimension ref="A1:L21"/>
  <sheetViews>
    <sheetView showGridLines="0" showRowColHeaders="0" tabSelected="1" zoomScale="193" zoomScaleNormal="400" workbookViewId="0">
      <selection activeCell="H18" sqref="H18"/>
    </sheetView>
  </sheetViews>
  <sheetFormatPr defaultRowHeight="14.4" x14ac:dyDescent="0.3"/>
  <sheetData>
    <row r="1" spans="1:12" x14ac:dyDescent="0.3">
      <c r="A1" s="4"/>
      <c r="B1" s="4"/>
      <c r="C1" s="4"/>
      <c r="D1" s="4"/>
      <c r="E1" s="4"/>
      <c r="F1" s="4"/>
      <c r="G1" s="4"/>
      <c r="H1" s="4"/>
      <c r="I1" s="4"/>
      <c r="J1" s="4"/>
      <c r="K1" s="4"/>
      <c r="L1" s="4"/>
    </row>
    <row r="2" spans="1:12" x14ac:dyDescent="0.3">
      <c r="A2" s="4"/>
      <c r="B2" s="4"/>
      <c r="C2" s="4"/>
      <c r="D2" s="4"/>
      <c r="E2" s="4"/>
      <c r="F2" s="4"/>
      <c r="G2" s="4"/>
      <c r="H2" s="4"/>
      <c r="I2" s="4"/>
      <c r="J2" s="4"/>
      <c r="K2" s="4"/>
      <c r="L2" s="4"/>
    </row>
    <row r="3" spans="1:12" x14ac:dyDescent="0.3">
      <c r="A3" s="4"/>
      <c r="B3" s="4"/>
      <c r="C3" s="4"/>
      <c r="D3" s="4"/>
      <c r="E3" s="4"/>
      <c r="F3" s="4"/>
      <c r="G3" s="4"/>
      <c r="H3" s="4"/>
      <c r="I3" s="4"/>
      <c r="J3" s="4"/>
      <c r="K3" s="4"/>
      <c r="L3" s="4"/>
    </row>
    <row r="4" spans="1:12" x14ac:dyDescent="0.3">
      <c r="A4" s="4"/>
      <c r="B4" s="4"/>
      <c r="C4" s="4"/>
      <c r="D4" s="4"/>
      <c r="E4" s="4"/>
      <c r="F4" s="4"/>
      <c r="G4" s="4"/>
      <c r="H4" s="4"/>
      <c r="I4" s="4"/>
      <c r="J4" s="4"/>
      <c r="K4" s="4"/>
      <c r="L4" s="4"/>
    </row>
    <row r="5" spans="1:12" x14ac:dyDescent="0.3">
      <c r="A5" s="4"/>
      <c r="B5" s="4"/>
      <c r="C5" s="4"/>
      <c r="D5" s="4"/>
      <c r="E5" s="4"/>
      <c r="F5" s="4"/>
      <c r="G5" s="4"/>
      <c r="H5" s="4"/>
      <c r="I5" s="4"/>
      <c r="J5" s="4"/>
      <c r="K5" s="4"/>
      <c r="L5" s="4"/>
    </row>
    <row r="6" spans="1:12" x14ac:dyDescent="0.3">
      <c r="A6" s="4"/>
      <c r="B6" s="4"/>
      <c r="C6" s="4"/>
      <c r="D6" s="4"/>
      <c r="E6" s="4"/>
      <c r="F6" s="4"/>
      <c r="G6" s="4"/>
      <c r="H6" s="4"/>
      <c r="I6" s="4"/>
      <c r="J6" s="4"/>
      <c r="K6" s="4"/>
      <c r="L6" s="4"/>
    </row>
    <row r="7" spans="1:12" x14ac:dyDescent="0.3">
      <c r="A7" s="4"/>
      <c r="B7" s="4"/>
      <c r="C7" s="4"/>
      <c r="D7" s="4"/>
      <c r="E7" s="4"/>
      <c r="F7" s="4"/>
      <c r="G7" s="4"/>
      <c r="H7" s="4"/>
      <c r="I7" s="4"/>
      <c r="J7" s="4"/>
      <c r="K7" s="4"/>
      <c r="L7" s="4"/>
    </row>
    <row r="8" spans="1:12" x14ac:dyDescent="0.3">
      <c r="A8" s="4"/>
      <c r="B8" s="4"/>
      <c r="C8" s="4"/>
      <c r="D8" s="4"/>
      <c r="E8" s="4"/>
      <c r="F8" s="4"/>
      <c r="G8" s="4"/>
      <c r="H8" s="4"/>
      <c r="I8" s="4"/>
      <c r="J8" s="4"/>
      <c r="K8" s="4"/>
      <c r="L8" s="4"/>
    </row>
    <row r="9" spans="1:12" x14ac:dyDescent="0.3">
      <c r="A9" s="4"/>
      <c r="B9" s="4"/>
      <c r="C9" s="4"/>
      <c r="D9" s="4"/>
      <c r="E9" s="4"/>
      <c r="F9" s="4"/>
      <c r="G9" s="4"/>
      <c r="H9" s="4"/>
      <c r="I9" s="4"/>
      <c r="J9" s="4"/>
      <c r="K9" s="4"/>
      <c r="L9" s="4"/>
    </row>
    <row r="10" spans="1:12" x14ac:dyDescent="0.3">
      <c r="A10" s="4"/>
      <c r="B10" s="4"/>
      <c r="C10" s="4"/>
      <c r="D10" s="4"/>
      <c r="E10" s="4"/>
      <c r="F10" s="4"/>
      <c r="G10" s="4"/>
      <c r="H10" s="4"/>
      <c r="I10" s="4"/>
      <c r="J10" s="4"/>
      <c r="K10" s="4"/>
      <c r="L10" s="4"/>
    </row>
    <row r="11" spans="1:12" x14ac:dyDescent="0.3">
      <c r="A11" s="4"/>
      <c r="B11" s="4"/>
      <c r="C11" s="4"/>
      <c r="D11" s="4"/>
      <c r="E11" s="4"/>
      <c r="F11" s="4"/>
      <c r="G11" s="4"/>
      <c r="H11" s="4"/>
      <c r="I11" s="4"/>
      <c r="J11" s="4"/>
      <c r="K11" s="4"/>
      <c r="L11" s="4"/>
    </row>
    <row r="12" spans="1:12" x14ac:dyDescent="0.3">
      <c r="A12" s="4"/>
      <c r="B12" s="4"/>
      <c r="C12" s="4"/>
      <c r="D12" s="4"/>
      <c r="E12" s="4"/>
      <c r="F12" s="4"/>
      <c r="G12" s="4"/>
      <c r="H12" s="4"/>
      <c r="I12" s="4"/>
      <c r="J12" s="4"/>
      <c r="K12" s="4"/>
      <c r="L12" s="4"/>
    </row>
    <row r="13" spans="1:12" x14ac:dyDescent="0.3">
      <c r="A13" s="4"/>
      <c r="B13" s="4"/>
      <c r="C13" s="4"/>
      <c r="D13" s="4"/>
      <c r="E13" s="4"/>
      <c r="F13" s="4"/>
      <c r="G13" s="4"/>
      <c r="H13" s="4"/>
      <c r="I13" s="4"/>
      <c r="J13" s="4"/>
      <c r="K13" s="4"/>
      <c r="L13" s="4"/>
    </row>
    <row r="14" spans="1:12" x14ac:dyDescent="0.3">
      <c r="A14" s="4"/>
      <c r="B14" s="4"/>
      <c r="C14" s="4"/>
      <c r="D14" s="4"/>
      <c r="E14" s="4"/>
      <c r="F14" s="4"/>
      <c r="G14" s="4"/>
      <c r="H14" s="4"/>
      <c r="I14" s="4"/>
      <c r="J14" s="4"/>
      <c r="K14" s="4"/>
      <c r="L14" s="4"/>
    </row>
    <row r="15" spans="1:12" x14ac:dyDescent="0.3">
      <c r="A15" s="4"/>
      <c r="B15" s="4"/>
      <c r="C15" s="4"/>
      <c r="D15" s="4"/>
      <c r="E15" s="4"/>
      <c r="F15" s="4"/>
      <c r="G15" s="4"/>
      <c r="H15" s="4"/>
      <c r="I15" s="4"/>
      <c r="J15" s="4"/>
      <c r="K15" s="4"/>
      <c r="L15" s="4"/>
    </row>
    <row r="16" spans="1:12" x14ac:dyDescent="0.3">
      <c r="A16" s="4"/>
      <c r="B16" s="4"/>
      <c r="C16" s="4"/>
      <c r="D16" s="4"/>
      <c r="E16" s="4"/>
      <c r="F16" s="4"/>
      <c r="G16" s="4"/>
      <c r="H16" s="4"/>
      <c r="I16" s="4"/>
      <c r="J16" s="4"/>
      <c r="K16" s="4"/>
      <c r="L16" s="4"/>
    </row>
    <row r="21" spans="12:12" x14ac:dyDescent="0.3">
      <c r="L21"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42F9-99CE-4F97-A9DE-B126B5BA4D84}">
  <dimension ref="A2:N25"/>
  <sheetViews>
    <sheetView showGridLines="0" showRowColHeaders="0" workbookViewId="0">
      <selection activeCell="P17" sqref="P17"/>
    </sheetView>
  </sheetViews>
  <sheetFormatPr defaultRowHeight="14.4" x14ac:dyDescent="0.3"/>
  <sheetData>
    <row r="2" spans="1:14" x14ac:dyDescent="0.3">
      <c r="A2" s="6"/>
      <c r="B2" s="6"/>
      <c r="C2" s="6"/>
      <c r="D2" s="6"/>
      <c r="E2" s="6"/>
      <c r="F2" s="6"/>
      <c r="G2" s="6"/>
      <c r="H2" s="6"/>
      <c r="I2" s="6"/>
      <c r="J2" s="6"/>
      <c r="K2" s="6"/>
      <c r="L2" s="6"/>
      <c r="M2" s="6"/>
      <c r="N2" s="6"/>
    </row>
    <row r="3" spans="1:14" x14ac:dyDescent="0.3">
      <c r="A3" s="6"/>
      <c r="B3" s="6"/>
      <c r="C3" s="6"/>
      <c r="D3" s="6"/>
      <c r="E3" s="6"/>
      <c r="F3" s="6"/>
      <c r="G3" s="6"/>
      <c r="H3" s="6"/>
      <c r="I3" s="6"/>
      <c r="J3" s="6"/>
      <c r="K3" s="6"/>
      <c r="L3" s="6"/>
      <c r="M3" s="6"/>
      <c r="N3" s="6"/>
    </row>
    <row r="4" spans="1:14" x14ac:dyDescent="0.3">
      <c r="A4" s="6"/>
      <c r="B4" s="6"/>
      <c r="C4" s="6"/>
      <c r="D4" s="6"/>
      <c r="E4" s="6"/>
      <c r="F4" s="6"/>
      <c r="G4" s="6"/>
      <c r="H4" s="6"/>
      <c r="I4" s="6"/>
      <c r="J4" s="6"/>
      <c r="K4" s="6"/>
      <c r="L4" s="6"/>
      <c r="M4" s="6"/>
      <c r="N4" s="6"/>
    </row>
    <row r="5" spans="1:14" x14ac:dyDescent="0.3">
      <c r="A5" s="6"/>
      <c r="B5" s="6"/>
      <c r="C5" s="6"/>
      <c r="D5" s="6"/>
      <c r="E5" s="6"/>
      <c r="F5" s="6"/>
      <c r="G5" s="6"/>
      <c r="H5" s="6"/>
      <c r="I5" s="6"/>
      <c r="J5" s="6"/>
      <c r="K5" s="6"/>
      <c r="L5" s="6"/>
      <c r="M5" s="6"/>
      <c r="N5" s="6"/>
    </row>
    <row r="6" spans="1:14" x14ac:dyDescent="0.3">
      <c r="A6" s="6"/>
      <c r="B6" s="6"/>
      <c r="C6" s="6"/>
      <c r="D6" s="6"/>
      <c r="E6" s="6"/>
      <c r="F6" s="6"/>
      <c r="G6" s="6"/>
      <c r="H6" s="6"/>
      <c r="I6" s="6"/>
      <c r="J6" s="6"/>
      <c r="K6" s="6"/>
      <c r="L6" s="6"/>
      <c r="M6" s="6"/>
      <c r="N6" s="6"/>
    </row>
    <row r="7" spans="1:14" x14ac:dyDescent="0.3">
      <c r="A7" s="6"/>
      <c r="B7" s="6"/>
      <c r="C7" s="6"/>
      <c r="D7" s="6"/>
      <c r="E7" s="6"/>
      <c r="F7" s="6"/>
      <c r="G7" s="6"/>
      <c r="H7" s="6"/>
      <c r="I7" s="6"/>
      <c r="J7" s="6"/>
      <c r="K7" s="6"/>
      <c r="L7" s="6"/>
      <c r="M7" s="6"/>
      <c r="N7" s="6"/>
    </row>
    <row r="8" spans="1:14" x14ac:dyDescent="0.3">
      <c r="A8" s="6"/>
      <c r="B8" s="6"/>
      <c r="C8" s="6"/>
      <c r="D8" s="6"/>
      <c r="E8" s="6"/>
      <c r="F8" s="6"/>
      <c r="G8" s="6"/>
      <c r="H8" s="6"/>
      <c r="I8" s="6"/>
      <c r="J8" s="6"/>
      <c r="K8" s="6"/>
      <c r="L8" s="6"/>
      <c r="M8" s="6"/>
      <c r="N8" s="6"/>
    </row>
    <row r="9" spans="1:14" x14ac:dyDescent="0.3">
      <c r="A9" s="6"/>
      <c r="B9" s="6"/>
      <c r="C9" s="6"/>
      <c r="D9" s="6"/>
      <c r="E9" s="6"/>
      <c r="F9" s="6"/>
      <c r="G9" s="6"/>
      <c r="H9" s="6"/>
      <c r="I9" s="6"/>
      <c r="J9" s="6"/>
      <c r="K9" s="6"/>
      <c r="L9" s="6"/>
      <c r="M9" s="6"/>
      <c r="N9" s="6"/>
    </row>
    <row r="10" spans="1:14"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x14ac:dyDescent="0.3">
      <c r="A20" s="6"/>
      <c r="B20" s="6"/>
      <c r="C20" s="6"/>
      <c r="D20" s="6"/>
      <c r="E20" s="6"/>
      <c r="F20" s="6"/>
      <c r="G20" s="6"/>
      <c r="H20" s="6"/>
      <c r="I20" s="6"/>
      <c r="J20" s="6"/>
      <c r="K20" s="6"/>
      <c r="L20" s="6"/>
      <c r="M20" s="6"/>
      <c r="N20" s="6"/>
    </row>
    <row r="21" spans="1:14" x14ac:dyDescent="0.3">
      <c r="A21" s="6"/>
      <c r="B21" s="6"/>
      <c r="C21" s="6"/>
      <c r="D21" s="6"/>
      <c r="E21" s="6"/>
      <c r="F21" s="6"/>
      <c r="G21" s="6"/>
      <c r="H21" s="6"/>
      <c r="I21" s="6"/>
      <c r="J21" s="6"/>
      <c r="K21" s="6"/>
      <c r="L21" s="6"/>
      <c r="M21" s="6"/>
      <c r="N21" s="6"/>
    </row>
    <row r="22" spans="1:14" x14ac:dyDescent="0.3">
      <c r="A22" s="6"/>
      <c r="B22" s="6"/>
      <c r="C22" s="6"/>
      <c r="D22" s="6"/>
      <c r="E22" s="6"/>
      <c r="F22" s="6"/>
      <c r="G22" s="6"/>
      <c r="H22" s="6"/>
      <c r="I22" s="6"/>
      <c r="J22" s="6"/>
      <c r="K22" s="6"/>
      <c r="L22" s="6"/>
      <c r="M22" s="6"/>
      <c r="N22" s="6"/>
    </row>
    <row r="23" spans="1:14" x14ac:dyDescent="0.3">
      <c r="A23" s="6"/>
      <c r="B23" s="6"/>
      <c r="C23" s="6"/>
      <c r="D23" s="6"/>
      <c r="E23" s="6"/>
      <c r="F23" s="6"/>
      <c r="G23" s="6"/>
      <c r="H23" s="6"/>
      <c r="I23" s="6"/>
      <c r="J23" s="6"/>
      <c r="K23" s="6"/>
      <c r="L23" s="6"/>
      <c r="M23" s="6"/>
      <c r="N23" s="6"/>
    </row>
    <row r="24" spans="1:14" x14ac:dyDescent="0.3">
      <c r="A24" s="6"/>
      <c r="B24" s="6"/>
      <c r="C24" s="6"/>
      <c r="D24" s="6"/>
      <c r="E24" s="6"/>
      <c r="F24" s="6"/>
      <c r="G24" s="6"/>
      <c r="H24" s="6"/>
      <c r="I24" s="6"/>
      <c r="J24" s="6"/>
      <c r="K24" s="6"/>
      <c r="L24" s="6"/>
      <c r="M24" s="6"/>
      <c r="N24" s="6"/>
    </row>
    <row r="25" spans="1:14" x14ac:dyDescent="0.3">
      <c r="A25" s="6"/>
      <c r="B25" s="6"/>
      <c r="C25" s="6"/>
      <c r="D25" s="6"/>
      <c r="E25" s="6"/>
      <c r="F25" s="6"/>
      <c r="G25" s="6"/>
      <c r="H25" s="6"/>
      <c r="I25" s="6"/>
      <c r="J25" s="6"/>
      <c r="K25" s="6"/>
      <c r="L25" s="6"/>
      <c r="M25" s="6"/>
      <c r="N25"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F4B7-808A-427A-86F3-EFBACB8066F1}">
  <dimension ref="A1:P31"/>
  <sheetViews>
    <sheetView showGridLines="0" showRowColHeaders="0" zoomScale="81" workbookViewId="0"/>
  </sheetViews>
  <sheetFormatPr defaultRowHeight="14.4" x14ac:dyDescent="0.3"/>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row r="7" spans="1:16" x14ac:dyDescent="0.3">
      <c r="A7" s="7"/>
      <c r="B7" s="7"/>
      <c r="C7" s="7"/>
      <c r="D7" s="7"/>
      <c r="E7" s="7"/>
      <c r="F7" s="7"/>
      <c r="G7" s="7"/>
      <c r="H7" s="7"/>
      <c r="I7" s="7"/>
      <c r="J7" s="7"/>
      <c r="K7" s="7"/>
      <c r="L7" s="7"/>
      <c r="M7" s="7"/>
      <c r="N7" s="7"/>
      <c r="O7" s="7"/>
      <c r="P7" s="7"/>
    </row>
    <row r="8" spans="1:16" x14ac:dyDescent="0.3">
      <c r="A8" s="7"/>
      <c r="B8" s="7"/>
      <c r="C8" s="7"/>
      <c r="D8" s="7"/>
      <c r="E8" s="7"/>
      <c r="F8" s="7"/>
      <c r="G8" s="7"/>
      <c r="H8" s="7"/>
      <c r="I8" s="7"/>
      <c r="J8" s="7"/>
      <c r="K8" s="7"/>
      <c r="L8" s="7"/>
      <c r="M8" s="7"/>
      <c r="N8" s="7"/>
      <c r="O8" s="7"/>
      <c r="P8" s="7"/>
    </row>
    <row r="9" spans="1:16" x14ac:dyDescent="0.3">
      <c r="A9" s="7"/>
      <c r="B9" s="7"/>
      <c r="C9" s="7"/>
      <c r="D9" s="7"/>
      <c r="E9" s="7"/>
      <c r="F9" s="7"/>
      <c r="G9" s="7"/>
      <c r="H9" s="7"/>
      <c r="I9" s="7"/>
      <c r="J9" s="7"/>
      <c r="K9" s="7"/>
      <c r="L9" s="7"/>
      <c r="M9" s="7"/>
      <c r="N9" s="7"/>
      <c r="O9" s="7"/>
      <c r="P9" s="7"/>
    </row>
    <row r="10" spans="1:16" x14ac:dyDescent="0.3">
      <c r="A10" s="7"/>
      <c r="B10" s="7"/>
      <c r="C10" s="7"/>
      <c r="D10" s="7"/>
      <c r="E10" s="7"/>
      <c r="F10" s="7"/>
      <c r="G10" s="7"/>
      <c r="H10" s="7"/>
      <c r="I10" s="7"/>
      <c r="J10" s="7"/>
      <c r="K10" s="7"/>
      <c r="L10" s="7"/>
      <c r="M10" s="7"/>
      <c r="N10" s="7"/>
      <c r="O10" s="7"/>
      <c r="P10" s="7"/>
    </row>
    <row r="11" spans="1:16" x14ac:dyDescent="0.3">
      <c r="A11" s="7"/>
      <c r="B11" s="7"/>
      <c r="C11" s="7"/>
      <c r="D11" s="7"/>
      <c r="E11" s="7"/>
      <c r="F11" s="7"/>
      <c r="G11" s="7"/>
      <c r="H11" s="7"/>
      <c r="I11" s="7"/>
      <c r="J11" s="7"/>
      <c r="K11" s="7"/>
      <c r="L11" s="7"/>
      <c r="M11" s="7"/>
      <c r="N11" s="7"/>
      <c r="O11" s="7"/>
      <c r="P11" s="7"/>
    </row>
    <row r="12" spans="1:16" x14ac:dyDescent="0.3">
      <c r="A12" s="7"/>
      <c r="B12" s="7"/>
      <c r="C12" s="7"/>
      <c r="D12" s="7"/>
      <c r="E12" s="7"/>
      <c r="F12" s="7"/>
      <c r="G12" s="7"/>
      <c r="H12" s="7"/>
      <c r="I12" s="7"/>
      <c r="J12" s="7"/>
      <c r="K12" s="7"/>
      <c r="L12" s="7"/>
      <c r="M12" s="7"/>
      <c r="N12" s="7"/>
      <c r="O12" s="7"/>
      <c r="P12" s="7"/>
    </row>
    <row r="13" spans="1:16" x14ac:dyDescent="0.3">
      <c r="A13" s="7"/>
      <c r="B13" s="7"/>
      <c r="C13" s="7"/>
      <c r="D13" s="7"/>
      <c r="E13" s="7"/>
      <c r="F13" s="7"/>
      <c r="G13" s="7"/>
      <c r="H13" s="7"/>
      <c r="I13" s="7"/>
      <c r="J13" s="7"/>
      <c r="K13" s="7"/>
      <c r="L13" s="7"/>
      <c r="M13" s="7"/>
      <c r="N13" s="7"/>
      <c r="O13" s="7"/>
      <c r="P13" s="7"/>
    </row>
    <row r="14" spans="1:16" x14ac:dyDescent="0.3">
      <c r="A14" s="7"/>
      <c r="B14" s="7"/>
      <c r="C14" s="7"/>
      <c r="D14" s="7"/>
      <c r="E14" s="7"/>
      <c r="F14" s="7"/>
      <c r="G14" s="7"/>
      <c r="H14" s="7"/>
      <c r="I14" s="7"/>
      <c r="J14" s="7"/>
      <c r="K14" s="7"/>
      <c r="L14" s="7"/>
      <c r="M14" s="7"/>
      <c r="N14" s="7"/>
      <c r="O14" s="7"/>
      <c r="P14" s="7"/>
    </row>
    <row r="15" spans="1:16" x14ac:dyDescent="0.3">
      <c r="A15" s="7"/>
      <c r="B15" s="7"/>
      <c r="C15" s="7"/>
      <c r="D15" s="7"/>
      <c r="E15" s="7"/>
      <c r="F15" s="7"/>
      <c r="G15" s="7"/>
      <c r="H15" s="7"/>
      <c r="I15" s="7"/>
      <c r="J15" s="7"/>
      <c r="K15" s="7"/>
      <c r="L15" s="7"/>
      <c r="M15" s="7"/>
      <c r="N15" s="7"/>
      <c r="O15" s="7"/>
      <c r="P15" s="7"/>
    </row>
    <row r="16" spans="1:16" x14ac:dyDescent="0.3">
      <c r="A16" s="7"/>
      <c r="B16" s="7"/>
      <c r="C16" s="7"/>
      <c r="D16" s="7"/>
      <c r="E16" s="7"/>
      <c r="F16" s="7"/>
      <c r="G16" s="7"/>
      <c r="H16" s="7"/>
      <c r="I16" s="7"/>
      <c r="J16" s="7"/>
      <c r="K16" s="7"/>
      <c r="L16" s="7"/>
      <c r="M16" s="7"/>
      <c r="N16" s="7"/>
      <c r="O16" s="7"/>
      <c r="P16" s="7"/>
    </row>
    <row r="17" spans="1:16" x14ac:dyDescent="0.3">
      <c r="A17" s="7"/>
      <c r="B17" s="7"/>
      <c r="C17" s="7"/>
      <c r="D17" s="7"/>
      <c r="E17" s="7"/>
      <c r="F17" s="7"/>
      <c r="G17" s="7"/>
      <c r="H17" s="7"/>
      <c r="I17" s="7"/>
      <c r="J17" s="7"/>
      <c r="K17" s="7"/>
      <c r="L17" s="7"/>
      <c r="M17" s="7"/>
      <c r="N17" s="7"/>
      <c r="O17" s="7"/>
      <c r="P17" s="7"/>
    </row>
    <row r="18" spans="1:16" x14ac:dyDescent="0.3">
      <c r="A18" s="7"/>
      <c r="B18" s="7"/>
      <c r="C18" s="7"/>
      <c r="D18" s="7"/>
      <c r="E18" s="7"/>
      <c r="F18" s="7"/>
      <c r="G18" s="7"/>
      <c r="H18" s="7"/>
      <c r="I18" s="7"/>
      <c r="J18" s="7"/>
      <c r="K18" s="7"/>
      <c r="L18" s="7"/>
      <c r="M18" s="7"/>
      <c r="N18" s="7"/>
      <c r="O18" s="7"/>
      <c r="P18" s="7"/>
    </row>
    <row r="19" spans="1:16" x14ac:dyDescent="0.3">
      <c r="A19" s="7"/>
      <c r="B19" s="7"/>
      <c r="C19" s="7"/>
      <c r="D19" s="7"/>
      <c r="E19" s="7"/>
      <c r="F19" s="7"/>
      <c r="G19" s="7"/>
      <c r="H19" s="7"/>
      <c r="I19" s="7"/>
      <c r="J19" s="7"/>
      <c r="K19" s="7"/>
      <c r="L19" s="7"/>
      <c r="M19" s="7"/>
      <c r="N19" s="7"/>
      <c r="O19" s="7"/>
      <c r="P19" s="7"/>
    </row>
    <row r="20" spans="1:16" x14ac:dyDescent="0.3">
      <c r="A20" s="7"/>
      <c r="B20" s="7"/>
      <c r="C20" s="7"/>
      <c r="D20" s="7"/>
      <c r="E20" s="7"/>
      <c r="F20" s="7"/>
      <c r="G20" s="7"/>
      <c r="H20" s="7"/>
      <c r="I20" s="7"/>
      <c r="J20" s="7"/>
      <c r="K20" s="7"/>
      <c r="L20" s="7"/>
      <c r="M20" s="7"/>
      <c r="N20" s="7"/>
      <c r="O20" s="7"/>
      <c r="P20" s="7"/>
    </row>
    <row r="21" spans="1:16" x14ac:dyDescent="0.3">
      <c r="A21" s="7"/>
      <c r="B21" s="7"/>
      <c r="C21" s="7"/>
      <c r="D21" s="7"/>
      <c r="E21" s="7"/>
      <c r="F21" s="7"/>
      <c r="G21" s="7"/>
      <c r="H21" s="7"/>
      <c r="I21" s="7"/>
      <c r="J21" s="7"/>
      <c r="K21" s="7"/>
      <c r="L21" s="7"/>
      <c r="M21" s="7"/>
      <c r="N21" s="7"/>
      <c r="O21" s="7"/>
      <c r="P21" s="7"/>
    </row>
    <row r="22" spans="1:16" x14ac:dyDescent="0.3">
      <c r="A22" s="7"/>
      <c r="B22" s="7"/>
      <c r="C22" s="7"/>
      <c r="D22" s="7"/>
      <c r="E22" s="7"/>
      <c r="F22" s="7"/>
      <c r="G22" s="7"/>
      <c r="H22" s="7"/>
      <c r="I22" s="7"/>
      <c r="J22" s="7"/>
      <c r="K22" s="7"/>
      <c r="L22" s="7"/>
      <c r="M22" s="7"/>
      <c r="N22" s="7"/>
      <c r="O22" s="7"/>
      <c r="P22" s="7"/>
    </row>
    <row r="23" spans="1:16" x14ac:dyDescent="0.3">
      <c r="A23" s="7"/>
      <c r="B23" s="7"/>
      <c r="C23" s="7"/>
      <c r="D23" s="7"/>
      <c r="E23" s="7"/>
      <c r="F23" s="7"/>
      <c r="G23" s="7"/>
      <c r="H23" s="7"/>
      <c r="I23" s="7"/>
      <c r="J23" s="7"/>
      <c r="K23" s="7"/>
      <c r="L23" s="7"/>
      <c r="M23" s="7"/>
      <c r="N23" s="7"/>
      <c r="O23" s="7"/>
      <c r="P23" s="7"/>
    </row>
    <row r="24" spans="1:16" x14ac:dyDescent="0.3">
      <c r="A24" s="7"/>
      <c r="B24" s="7"/>
      <c r="C24" s="7"/>
      <c r="D24" s="7"/>
      <c r="E24" s="7"/>
      <c r="F24" s="7"/>
      <c r="G24" s="7"/>
      <c r="H24" s="7"/>
      <c r="I24" s="7"/>
      <c r="J24" s="7"/>
      <c r="K24" s="7"/>
      <c r="L24" s="7"/>
      <c r="M24" s="7"/>
      <c r="N24" s="7"/>
      <c r="O24" s="7"/>
      <c r="P24" s="7"/>
    </row>
    <row r="25" spans="1:16" x14ac:dyDescent="0.3">
      <c r="A25" s="7"/>
      <c r="B25" s="7"/>
      <c r="C25" s="7"/>
      <c r="D25" s="7"/>
      <c r="E25" s="7"/>
      <c r="F25" s="7"/>
      <c r="G25" s="7"/>
      <c r="H25" s="7"/>
      <c r="I25" s="7"/>
      <c r="J25" s="7"/>
      <c r="K25" s="7"/>
      <c r="L25" s="7"/>
      <c r="M25" s="7"/>
      <c r="N25" s="7"/>
      <c r="O25" s="7"/>
      <c r="P25" s="7"/>
    </row>
    <row r="26" spans="1:16" x14ac:dyDescent="0.3">
      <c r="A26" s="7"/>
      <c r="B26" s="7"/>
      <c r="C26" s="7"/>
      <c r="D26" s="7"/>
      <c r="E26" s="7"/>
      <c r="F26" s="7"/>
      <c r="G26" s="7"/>
      <c r="H26" s="7"/>
      <c r="I26" s="7"/>
      <c r="J26" s="7"/>
      <c r="K26" s="7"/>
      <c r="L26" s="7"/>
      <c r="M26" s="7"/>
      <c r="N26" s="7"/>
      <c r="O26" s="7"/>
      <c r="P26" s="7"/>
    </row>
    <row r="27" spans="1:16" x14ac:dyDescent="0.3">
      <c r="A27" s="7"/>
      <c r="B27" s="7"/>
      <c r="C27" s="7"/>
      <c r="D27" s="7"/>
      <c r="E27" s="7"/>
      <c r="F27" s="7"/>
      <c r="G27" s="7"/>
      <c r="H27" s="7"/>
      <c r="I27" s="7"/>
      <c r="J27" s="7"/>
      <c r="K27" s="7"/>
      <c r="L27" s="7"/>
      <c r="M27" s="7"/>
      <c r="N27" s="7"/>
      <c r="O27" s="7"/>
      <c r="P27" s="7"/>
    </row>
    <row r="28" spans="1:16" x14ac:dyDescent="0.3">
      <c r="A28" s="7"/>
      <c r="B28" s="7"/>
      <c r="C28" s="7"/>
      <c r="D28" s="7"/>
      <c r="E28" s="7"/>
      <c r="F28" s="7"/>
      <c r="G28" s="7"/>
      <c r="H28" s="7"/>
      <c r="I28" s="7"/>
      <c r="J28" s="7"/>
      <c r="K28" s="7"/>
      <c r="L28" s="7"/>
      <c r="M28" s="7"/>
      <c r="N28" s="7"/>
      <c r="O28" s="7"/>
      <c r="P28" s="7"/>
    </row>
    <row r="29" spans="1:16" x14ac:dyDescent="0.3">
      <c r="A29" s="7"/>
      <c r="B29" s="7"/>
      <c r="C29" s="7"/>
      <c r="D29" s="7"/>
      <c r="E29" s="7"/>
      <c r="F29" s="7"/>
      <c r="G29" s="7"/>
      <c r="H29" s="7"/>
      <c r="I29" s="7"/>
      <c r="J29" s="7"/>
      <c r="K29" s="7"/>
      <c r="L29" s="7"/>
      <c r="M29" s="7"/>
      <c r="N29" s="7"/>
      <c r="O29" s="7"/>
      <c r="P29" s="7"/>
    </row>
    <row r="30" spans="1:16" x14ac:dyDescent="0.3">
      <c r="A30" s="7"/>
      <c r="B30" s="7"/>
      <c r="C30" s="7"/>
      <c r="D30" s="7"/>
      <c r="E30" s="7"/>
      <c r="F30" s="7"/>
      <c r="G30" s="7"/>
      <c r="H30" s="7"/>
      <c r="I30" s="7"/>
      <c r="J30" s="7"/>
      <c r="K30" s="7"/>
      <c r="L30" s="7"/>
      <c r="M30" s="7"/>
      <c r="N30" s="7"/>
      <c r="O30" s="7"/>
      <c r="P30" s="7"/>
    </row>
    <row r="31" spans="1:16" x14ac:dyDescent="0.3">
      <c r="A31" s="7"/>
      <c r="B31" s="7"/>
      <c r="C31" s="7"/>
      <c r="D31" s="7"/>
      <c r="E31" s="7"/>
      <c r="F31" s="7"/>
      <c r="G31" s="7"/>
      <c r="H31" s="7"/>
      <c r="I31" s="7"/>
      <c r="J31" s="7"/>
      <c r="K31" s="7"/>
      <c r="L31" s="7"/>
      <c r="M31" s="7"/>
      <c r="N31" s="7"/>
      <c r="O31" s="7"/>
      <c r="P31"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730D-6543-46A9-96FD-A51F0B90BF5A}">
  <dimension ref="A2:N25"/>
  <sheetViews>
    <sheetView showGridLines="0" showRowColHeaders="0" workbookViewId="0">
      <selection activeCell="P10" sqref="P10"/>
    </sheetView>
  </sheetViews>
  <sheetFormatPr defaultRowHeight="14.4" x14ac:dyDescent="0.3"/>
  <sheetData>
    <row r="2" spans="1:14" x14ac:dyDescent="0.3">
      <c r="A2" s="6"/>
      <c r="B2" s="6"/>
      <c r="C2" s="6"/>
      <c r="D2" s="6"/>
      <c r="E2" s="6"/>
      <c r="F2" s="6"/>
      <c r="G2" s="6"/>
      <c r="H2" s="6"/>
      <c r="I2" s="6"/>
      <c r="J2" s="6"/>
      <c r="K2" s="6"/>
      <c r="L2" s="6"/>
      <c r="M2" s="6"/>
      <c r="N2" s="6"/>
    </row>
    <row r="3" spans="1:14" x14ac:dyDescent="0.3">
      <c r="A3" s="6"/>
      <c r="B3" s="6"/>
      <c r="C3" s="6"/>
      <c r="D3" s="6"/>
      <c r="E3" s="6"/>
      <c r="F3" s="6"/>
      <c r="G3" s="6"/>
      <c r="H3" s="6"/>
      <c r="I3" s="6"/>
      <c r="J3" s="6"/>
      <c r="K3" s="6"/>
      <c r="L3" s="6"/>
      <c r="M3" s="6"/>
      <c r="N3" s="6"/>
    </row>
    <row r="4" spans="1:14" x14ac:dyDescent="0.3">
      <c r="A4" s="6"/>
      <c r="B4" s="6"/>
      <c r="C4" s="6"/>
      <c r="D4" s="6"/>
      <c r="E4" s="6"/>
      <c r="F4" s="6"/>
      <c r="G4" s="6"/>
      <c r="H4" s="6"/>
      <c r="I4" s="6"/>
      <c r="J4" s="6"/>
      <c r="K4" s="6"/>
      <c r="L4" s="6"/>
      <c r="M4" s="6"/>
      <c r="N4" s="6"/>
    </row>
    <row r="5" spans="1:14" x14ac:dyDescent="0.3">
      <c r="A5" s="6"/>
      <c r="B5" s="6"/>
      <c r="C5" s="6"/>
      <c r="D5" s="6"/>
      <c r="E5" s="6"/>
      <c r="F5" s="6"/>
      <c r="G5" s="6"/>
      <c r="H5" s="6"/>
      <c r="I5" s="6"/>
      <c r="J5" s="6"/>
      <c r="K5" s="6"/>
      <c r="L5" s="6"/>
      <c r="M5" s="6"/>
      <c r="N5" s="6"/>
    </row>
    <row r="6" spans="1:14" x14ac:dyDescent="0.3">
      <c r="A6" s="6"/>
      <c r="B6" s="6"/>
      <c r="C6" s="6"/>
      <c r="D6" s="6"/>
      <c r="E6" s="6"/>
      <c r="F6" s="6"/>
      <c r="G6" s="6"/>
      <c r="H6" s="6"/>
      <c r="I6" s="6"/>
      <c r="J6" s="6"/>
      <c r="K6" s="6"/>
      <c r="L6" s="6"/>
      <c r="M6" s="6"/>
      <c r="N6" s="6"/>
    </row>
    <row r="7" spans="1:14" x14ac:dyDescent="0.3">
      <c r="A7" s="6"/>
      <c r="B7" s="6"/>
      <c r="C7" s="6"/>
      <c r="D7" s="6"/>
      <c r="E7" s="6"/>
      <c r="F7" s="6"/>
      <c r="G7" s="6"/>
      <c r="H7" s="6"/>
      <c r="I7" s="6"/>
      <c r="J7" s="6"/>
      <c r="K7" s="6"/>
      <c r="L7" s="6"/>
      <c r="M7" s="6"/>
      <c r="N7" s="6"/>
    </row>
    <row r="8" spans="1:14" x14ac:dyDescent="0.3">
      <c r="A8" s="6"/>
      <c r="B8" s="6"/>
      <c r="C8" s="6"/>
      <c r="D8" s="6"/>
      <c r="E8" s="6"/>
      <c r="F8" s="6"/>
      <c r="G8" s="6"/>
      <c r="H8" s="6"/>
      <c r="I8" s="6"/>
      <c r="J8" s="6"/>
      <c r="K8" s="6"/>
      <c r="L8" s="6"/>
      <c r="M8" s="6"/>
      <c r="N8" s="6"/>
    </row>
    <row r="9" spans="1:14" x14ac:dyDescent="0.3">
      <c r="A9" s="6"/>
      <c r="B9" s="6"/>
      <c r="C9" s="6"/>
      <c r="D9" s="6"/>
      <c r="E9" s="6"/>
      <c r="F9" s="6"/>
      <c r="G9" s="6"/>
      <c r="H9" s="6"/>
      <c r="I9" s="6"/>
      <c r="J9" s="6"/>
      <c r="K9" s="6"/>
      <c r="L9" s="6"/>
      <c r="M9" s="6"/>
      <c r="N9" s="6"/>
    </row>
    <row r="10" spans="1:14"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x14ac:dyDescent="0.3">
      <c r="A20" s="6"/>
      <c r="B20" s="6"/>
      <c r="C20" s="6"/>
      <c r="D20" s="6"/>
      <c r="E20" s="6"/>
      <c r="F20" s="6"/>
      <c r="G20" s="6"/>
      <c r="H20" s="6"/>
      <c r="I20" s="6"/>
      <c r="J20" s="6"/>
      <c r="K20" s="6"/>
      <c r="L20" s="6"/>
      <c r="M20" s="6"/>
      <c r="N20" s="6"/>
    </row>
    <row r="21" spans="1:14" x14ac:dyDescent="0.3">
      <c r="A21" s="6"/>
      <c r="B21" s="6"/>
      <c r="C21" s="6"/>
      <c r="D21" s="6"/>
      <c r="E21" s="6"/>
      <c r="F21" s="6"/>
      <c r="G21" s="6"/>
      <c r="H21" s="6"/>
      <c r="I21" s="6"/>
      <c r="J21" s="6"/>
      <c r="K21" s="6"/>
      <c r="L21" s="6"/>
      <c r="M21" s="6"/>
      <c r="N21" s="6"/>
    </row>
    <row r="22" spans="1:14" x14ac:dyDescent="0.3">
      <c r="A22" s="6"/>
      <c r="B22" s="6"/>
      <c r="C22" s="6"/>
      <c r="D22" s="6"/>
      <c r="E22" s="6"/>
      <c r="F22" s="6"/>
      <c r="G22" s="6"/>
      <c r="H22" s="6"/>
      <c r="I22" s="6"/>
      <c r="J22" s="6"/>
      <c r="K22" s="6"/>
      <c r="L22" s="6"/>
      <c r="M22" s="6"/>
      <c r="N22" s="6"/>
    </row>
    <row r="23" spans="1:14" x14ac:dyDescent="0.3">
      <c r="A23" s="6"/>
      <c r="B23" s="6"/>
      <c r="C23" s="6"/>
      <c r="D23" s="6"/>
      <c r="E23" s="6"/>
      <c r="F23" s="6"/>
      <c r="G23" s="6"/>
      <c r="H23" s="6"/>
      <c r="I23" s="6"/>
      <c r="J23" s="6"/>
      <c r="K23" s="6"/>
      <c r="L23" s="6"/>
      <c r="M23" s="6"/>
      <c r="N23" s="6"/>
    </row>
    <row r="24" spans="1:14" x14ac:dyDescent="0.3">
      <c r="A24" s="6"/>
      <c r="B24" s="6"/>
      <c r="C24" s="6"/>
      <c r="D24" s="6"/>
      <c r="E24" s="6"/>
      <c r="F24" s="6"/>
      <c r="G24" s="6"/>
      <c r="H24" s="6"/>
      <c r="I24" s="6"/>
      <c r="J24" s="6"/>
      <c r="K24" s="6"/>
      <c r="L24" s="6"/>
      <c r="M24" s="6"/>
      <c r="N24" s="6"/>
    </row>
    <row r="25" spans="1:14" x14ac:dyDescent="0.3">
      <c r="A25" s="6"/>
      <c r="B25" s="6"/>
      <c r="C25" s="6"/>
      <c r="D25" s="6"/>
      <c r="E25" s="6"/>
      <c r="F25" s="6"/>
      <c r="G25" s="6"/>
      <c r="H25" s="6"/>
      <c r="I25" s="6"/>
      <c r="J25" s="6"/>
      <c r="K25" s="6"/>
      <c r="L25" s="6"/>
      <c r="M25" s="6"/>
      <c r="N25"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23C47BD-3386-4F71-8492-6ECA33BE8258}">
  <ds:schemaRefs/>
</ds:datastoreItem>
</file>

<file path=customXml/itemProps2.xml><?xml version="1.0" encoding="utf-8"?>
<ds:datastoreItem xmlns:ds="http://schemas.openxmlformats.org/officeDocument/2006/customXml" ds:itemID="{896115FC-E275-484F-8A3B-3EA2371F8F0A}">
  <ds:schemaRefs>
    <ds:schemaRef ds:uri="http://schemas.microsoft.com/DataMashup"/>
  </ds:schemaRefs>
</ds:datastoreItem>
</file>

<file path=customXml/itemProps3.xml><?xml version="1.0" encoding="utf-8"?>
<ds:datastoreItem xmlns:ds="http://schemas.openxmlformats.org/officeDocument/2006/customXml" ds:itemID="{662732EF-B05F-4AE7-B178-C956FCAB6E41}">
  <ds:schemaRefs/>
</ds:datastoreItem>
</file>

<file path=customXml/itemProps4.xml><?xml version="1.0" encoding="utf-8"?>
<ds:datastoreItem xmlns:ds="http://schemas.openxmlformats.org/officeDocument/2006/customXml" ds:itemID="{A3F4174E-E70F-49AF-87E5-D24000D843A0}">
  <ds:schemaRefs/>
</ds:datastoreItem>
</file>

<file path=customXml/itemProps5.xml><?xml version="1.0" encoding="utf-8"?>
<ds:datastoreItem xmlns:ds="http://schemas.openxmlformats.org/officeDocument/2006/customXml" ds:itemID="{E72F5AFD-A8F8-4347-A13C-A5AE8001B52F}">
  <ds:schemaRefs/>
</ds:datastoreItem>
</file>

<file path=customXml/itemProps6.xml><?xml version="1.0" encoding="utf-8"?>
<ds:datastoreItem xmlns:ds="http://schemas.openxmlformats.org/officeDocument/2006/customXml" ds:itemID="{7603745D-4D48-4CA7-AB2F-3E677FE96F08}">
  <ds:schemaRefs/>
</ds:datastoreItem>
</file>

<file path=customXml/itemProps7.xml><?xml version="1.0" encoding="utf-8"?>
<ds:datastoreItem xmlns:ds="http://schemas.openxmlformats.org/officeDocument/2006/customXml" ds:itemID="{265B7B4A-49FB-485B-B74E-F9D25B719C23}">
  <ds:schemaRefs/>
</ds:datastoreItem>
</file>

<file path=customXml/itemProps8.xml><?xml version="1.0" encoding="utf-8"?>
<ds:datastoreItem xmlns:ds="http://schemas.openxmlformats.org/officeDocument/2006/customXml" ds:itemID="{79189021-2980-4ABA-BA59-3951F71A960E}">
  <ds:schemaRefs/>
</ds:datastoreItem>
</file>

<file path=customXml/itemProps9.xml><?xml version="1.0" encoding="utf-8"?>
<ds:datastoreItem xmlns:ds="http://schemas.openxmlformats.org/officeDocument/2006/customXml" ds:itemID="{8B7C44F8-E7B7-4BDB-8A58-2B5DBFCCE37F}">
  <ds:schemaRefs/>
</ds:datastoreItem>
</file>

<file path=customXml/itemProps10.xml><?xml version="1.0" encoding="utf-8"?>
<ds:datastoreItem xmlns:ds="http://schemas.openxmlformats.org/officeDocument/2006/customXml" ds:itemID="{138F8653-DEB1-46D0-B093-00E10F3C3D17}">
  <ds:schemaRefs/>
</ds:datastoreItem>
</file>

<file path=customXml/itemProps11.xml><?xml version="1.0" encoding="utf-8"?>
<ds:datastoreItem xmlns:ds="http://schemas.openxmlformats.org/officeDocument/2006/customXml" ds:itemID="{A348CD2A-5280-4416-8D7A-60AB25482FB1}">
  <ds:schemaRefs/>
</ds:datastoreItem>
</file>

<file path=customXml/itemProps12.xml><?xml version="1.0" encoding="utf-8"?>
<ds:datastoreItem xmlns:ds="http://schemas.openxmlformats.org/officeDocument/2006/customXml" ds:itemID="{C78879D9-7FE9-44B7-964F-2C0B5F486FEF}">
  <ds:schemaRefs/>
</ds:datastoreItem>
</file>

<file path=customXml/itemProps13.xml><?xml version="1.0" encoding="utf-8"?>
<ds:datastoreItem xmlns:ds="http://schemas.openxmlformats.org/officeDocument/2006/customXml" ds:itemID="{8348ECAC-424D-431C-9BCD-16DD39A86F38}">
  <ds:schemaRefs/>
</ds:datastoreItem>
</file>

<file path=customXml/itemProps14.xml><?xml version="1.0" encoding="utf-8"?>
<ds:datastoreItem xmlns:ds="http://schemas.openxmlformats.org/officeDocument/2006/customXml" ds:itemID="{C203ECD9-75CC-4876-8E44-33D18D72708A}">
  <ds:schemaRefs/>
</ds:datastoreItem>
</file>

<file path=customXml/itemProps15.xml><?xml version="1.0" encoding="utf-8"?>
<ds:datastoreItem xmlns:ds="http://schemas.openxmlformats.org/officeDocument/2006/customXml" ds:itemID="{8087F94D-CAFC-48A4-A537-177C9DBCC6DF}">
  <ds:schemaRefs/>
</ds:datastoreItem>
</file>

<file path=customXml/itemProps16.xml><?xml version="1.0" encoding="utf-8"?>
<ds:datastoreItem xmlns:ds="http://schemas.openxmlformats.org/officeDocument/2006/customXml" ds:itemID="{C59BC7BE-58CC-4CBC-B55E-58EA2EA24115}">
  <ds:schemaRefs/>
</ds:datastoreItem>
</file>

<file path=customXml/itemProps17.xml><?xml version="1.0" encoding="utf-8"?>
<ds:datastoreItem xmlns:ds="http://schemas.openxmlformats.org/officeDocument/2006/customXml" ds:itemID="{EF4A9F30-54DF-4342-B4A3-958812384499}">
  <ds:schemaRefs/>
</ds:datastoreItem>
</file>

<file path=customXml/itemProps18.xml><?xml version="1.0" encoding="utf-8"?>
<ds:datastoreItem xmlns:ds="http://schemas.openxmlformats.org/officeDocument/2006/customXml" ds:itemID="{4E1CE080-0E6D-450E-88FB-F544946AB2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No.of Patients</vt:lpstr>
      <vt:lpstr>Average Wait time Daily trend</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Shiva kumar</cp:lastModifiedBy>
  <dcterms:created xsi:type="dcterms:W3CDTF">2025-09-24T06:29:41Z</dcterms:created>
  <dcterms:modified xsi:type="dcterms:W3CDTF">2025-09-27T12:19:57Z</dcterms:modified>
</cp:coreProperties>
</file>